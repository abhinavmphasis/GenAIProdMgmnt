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10" windowWidth="28455" windowHeight="11955" tabRatio="647" firstSheet="4" activeTab="9"/>
  </bookViews>
  <sheets>
    <sheet name="Executive Summary" sheetId="1" r:id="rId1"/>
    <sheet name="Master Skills Catalog" sheetId="2" r:id="rId2"/>
    <sheet name="1. PM Workflow Deep-Dive" sheetId="3" r:id="rId3"/>
    <sheet name="2. Product Thinking Deep-Dive" sheetId="4" r:id="rId4"/>
    <sheet name="3. AI Domain &amp; Governance" sheetId="5" r:id="rId5"/>
    <sheet name="RICE Prioritization Model" sheetId="6" r:id="rId6"/>
    <sheet name="Tech Specs &amp; API Contract" sheetId="7" r:id="rId7"/>
    <sheet name="WorkBookArchitecture" sheetId="8" r:id="rId8"/>
    <sheet name="PrioAuthWorkFlowSkills" sheetId="9" r:id="rId9"/>
    <sheet name="GenericMasterSkills" sheetId="10" r:id="rId10"/>
  </sheets>
  <calcPr calcId="124519"/>
</workbook>
</file>

<file path=xl/calcChain.xml><?xml version="1.0" encoding="utf-8"?>
<calcChain xmlns="http://schemas.openxmlformats.org/spreadsheetml/2006/main">
  <c r="E13" i="6"/>
  <c r="D13"/>
  <c r="C13"/>
  <c r="B13"/>
  <c r="F12"/>
  <c r="G12" s="1"/>
  <c r="F11"/>
  <c r="G11" s="1"/>
  <c r="F10"/>
  <c r="G10" s="1"/>
  <c r="F9"/>
  <c r="G9" s="1"/>
  <c r="F8"/>
  <c r="G8" s="1"/>
  <c r="F7"/>
  <c r="G7" s="1"/>
  <c r="F6"/>
  <c r="G6" s="1"/>
  <c r="G5"/>
  <c r="F5"/>
  <c r="F13" s="1"/>
</calcChain>
</file>

<file path=xl/sharedStrings.xml><?xml version="1.0" encoding="utf-8"?>
<sst xmlns="http://schemas.openxmlformats.org/spreadsheetml/2006/main" count="995" uniqueCount="773">
  <si>
    <t>INTELLIAUTH — AI-POWERED PRIOR AUTHORIZATION ENGINE</t>
  </si>
  <si>
    <t>Master Product Management Framework Blueprint | 17 PM Skills Applied to Automated Clinical Adjudication</t>
  </si>
  <si>
    <t>MEDIAN TURNAROUND TIME</t>
  </si>
  <si>
    <t>TOUCHLESS AUTO-APPROVAL</t>
  </si>
  <si>
    <t>ANNUAL OPEX REDUCTION</t>
  </si>
  <si>
    <t>OVERTURN / APPEAL RATE</t>
  </si>
  <si>
    <t>45 Seconds</t>
  </si>
  <si>
    <t>42.5%</t>
  </si>
  <si>
    <t>$3,240,000</t>
  </si>
  <si>
    <t>&lt; 0.85%</t>
  </si>
  <si>
    <t>(Down from 5-7 Days)</t>
  </si>
  <si>
    <t>(CMS Compliant P0 Rules)</t>
  </si>
  <si>
    <t>(68% Admin Savings)</t>
  </si>
  <si>
    <t>(Guardrail SLA &lt; 1.5%)</t>
  </si>
  <si>
    <t>1. PRODUCT ARCHITECTURE &amp; STRATEGIC PILLARS</t>
  </si>
  <si>
    <t>Core Problem</t>
  </si>
  <si>
    <t>Prior Authorization (PA) is the primary friction point in US healthcare, causing 5-14 day treatment delays, 34% physician burnout, and $18/case manual review overhead. 70% of delays stem from missing unstructured chart data.</t>
  </si>
  <si>
    <t>Product Vision</t>
  </si>
  <si>
    <t>IntelliAuth transforms prior auth from a slow, retrospective dispute into a real-time point-of-care clinical clearance protocol using FHIR Da Vinci APIs and multimodal LLM extraction.</t>
  </si>
  <si>
    <t>AI Architecture</t>
  </si>
  <si>
    <t>Hybrid Pipeline: Small Language Models (SLMs) for high-speed deterministic code/biomarker extraction + Frontier LLMs for multi-source guideline synthesis against MCG/InterQual criteria.</t>
  </si>
  <si>
    <t>Regulatory Moat</t>
  </si>
  <si>
    <t>Strict compliance with CMS-0057-F Interoperability mandate. Enforces 'Asymmetric Autonomy': AI auto-approves compliant claims, but adverse determinations strictly require human Medical Director review.</t>
  </si>
  <si>
    <t>2. 17 PM SKILLS MATRIX SNAPSHOT</t>
  </si>
  <si>
    <t>Category</t>
  </si>
  <si>
    <t>Skill Framework</t>
  </si>
  <si>
    <t>CLI Command</t>
  </si>
  <si>
    <t>Core Deliverable / Target Artifact</t>
  </si>
  <si>
    <t>Key Business Impact</t>
  </si>
  <si>
    <t>Phase</t>
  </si>
  <si>
    <t>Owner</t>
  </si>
  <si>
    <t>PM Workflow</t>
  </si>
  <si>
    <t>PRD Writer</t>
  </si>
  <si>
    <t>/prd-writer</t>
  </si>
  <si>
    <t>Technical PRD with Da Vinci PAS specs &amp; SLIs</t>
  </si>
  <si>
    <t>Engineering alignment &amp; zero-drift scoping</t>
  </si>
  <si>
    <t>P0</t>
  </si>
  <si>
    <t>Lead PM</t>
  </si>
  <si>
    <t>Prioritization Matrix</t>
  </si>
  <si>
    <t>/prioritization-matrix</t>
  </si>
  <si>
    <t>RICE Scoring Model &amp; 3-phase release roadmap</t>
  </si>
  <si>
    <t>Data-driven feature sequence allocation</t>
  </si>
  <si>
    <t>User Research Synthesis</t>
  </si>
  <si>
    <t>/user-research-synthesis</t>
  </si>
  <si>
    <t>JTBD map &amp; Provider vs Payer friction clusters</t>
  </si>
  <si>
    <t>Solves high-friction fax &amp; portal bottlenecks</t>
  </si>
  <si>
    <t>Product / UX</t>
  </si>
  <si>
    <t>Launch Checklist</t>
  </si>
  <si>
    <t>/launch-checklist</t>
  </si>
  <si>
    <t>Deterministic rollback gates &amp; compliance audits</t>
  </si>
  <si>
    <t>Zero-incident GA deployment under CMS-0057-F</t>
  </si>
  <si>
    <t>P1</t>
  </si>
  <si>
    <t>PM / DevOps</t>
  </si>
  <si>
    <t>Stakeholder Brief</t>
  </si>
  <si>
    <t>/stakeholder-brief</t>
  </si>
  <si>
    <t>BLUF Executive Memo for CMO &amp; VP Operations</t>
  </si>
  <si>
    <t>$3.2M budget approval &amp; clinical pilot greenlight</t>
  </si>
  <si>
    <t>Metric Dashboard</t>
  </si>
  <si>
    <t>/metric-dashboard</t>
  </si>
  <si>
    <t>Telemetry specs &amp; North Star / Guardrail trees</t>
  </si>
  <si>
    <t>Full observability into approval drift &amp; errors</t>
  </si>
  <si>
    <t>Data / PM</t>
  </si>
  <si>
    <t>PM Writing</t>
  </si>
  <si>
    <t>/pm-writing</t>
  </si>
  <si>
    <t>Concise executive incident post-mortems &amp; memos</t>
  </si>
  <si>
    <t>Eliminates cognitive load for leadership reviews</t>
  </si>
  <si>
    <t>All PMs</t>
  </si>
  <si>
    <t>Product Thinking</t>
  </si>
  <si>
    <t>Product Sense</t>
  </si>
  <si>
    <t>/product-sense</t>
  </si>
  <si>
    <t>OncoPass real-time oncology authorization engine</t>
  </si>
  <si>
    <t>Differentiates from legacy clearinghouse models</t>
  </si>
  <si>
    <t>Product Strategy</t>
  </si>
  <si>
    <t>/product-strategy</t>
  </si>
  <si>
    <t>3-Year competitive moat &amp; Build vs Buy matrix</t>
  </si>
  <si>
    <t>High defensibility against EHR incumbents</t>
  </si>
  <si>
    <t>Head of Product</t>
  </si>
  <si>
    <t>Analytical PM</t>
  </si>
  <si>
    <t>/analytical-pm</t>
  </si>
  <si>
    <t>MECE Root-Cause Diagnostic on metric drop</t>
  </si>
  <si>
    <t>Rapid resolution of approval degradation</t>
  </si>
  <si>
    <t>PM / Analytics</t>
  </si>
  <si>
    <t>Technical PM</t>
  </si>
  <si>
    <t>/technical-pm</t>
  </si>
  <si>
    <t>FHIR API payload contracts &amp; Latency SLIs</t>
  </si>
  <si>
    <t>Tight engineering interface &amp; SLA governance</t>
  </si>
  <si>
    <t>Behavioral PM</t>
  </si>
  <si>
    <t>/behavioral-pm</t>
  </si>
  <si>
    <t>STAR+R leadership case: CMO vs Data Science</t>
  </si>
  <si>
    <t>Cross-functional consensus on safety thresholds</t>
  </si>
  <si>
    <t>AI Domain Depth</t>
  </si>
  <si>
    <t>AI Product Teardown</t>
  </si>
  <si>
    <t>/ai-product-teardown</t>
  </si>
  <si>
    <t>7-Part architecture audit of Cohere/Epic platform</t>
  </si>
  <si>
    <t>Identifies competitor vulnerabilities &amp; edge cases</t>
  </si>
  <si>
    <t>AI PM</t>
  </si>
  <si>
    <t>AI Market Landscape</t>
  </si>
  <si>
    <t>/ai-market-landscape</t>
  </si>
  <si>
    <t>2x2 positioning matrix across payer/provider AI</t>
  </si>
  <si>
    <t>Pinpoints white-space in real-time approvals</t>
  </si>
  <si>
    <t>Strategy / PM</t>
  </si>
  <si>
    <t>PM Case Study</t>
  </si>
  <si>
    <t>/pm-case-study</t>
  </si>
  <si>
    <t>CMS-0057-F mandate retrospective &amp; playbook</t>
  </si>
  <si>
    <t>Capitalizes on regulatory tailwinds ahead of peers</t>
  </si>
  <si>
    <t>AI Ethics &amp; Trade-offs</t>
  </si>
  <si>
    <t>/ai-ethics-tradeoffs</t>
  </si>
  <si>
    <t>Asymmetric autonomy &amp; explainability policies</t>
  </si>
  <si>
    <t>Eliminates legal liability &amp; algorithmic bias</t>
  </si>
  <si>
    <t>Clinical / AI PM</t>
  </si>
  <si>
    <t>Mock Interviewer</t>
  </si>
  <si>
    <t>/mock-interviewer</t>
  </si>
  <si>
    <t>Clinical dispute simulation &amp; disaster recovery</t>
  </si>
  <si>
    <t>Team preparedness for high-stakes incidents</t>
  </si>
  <si>
    <t>P2</t>
  </si>
  <si>
    <t>PM Training</t>
  </si>
  <si>
    <t>17 PRODUCT MANAGEMENT FRAMEWORKS CATALOG</t>
  </si>
  <si>
    <t>Complete methodology breakdown, triggering instructions, theoretical basis, and output artifacts</t>
  </si>
  <si>
    <t>ID</t>
  </si>
  <si>
    <t>Skill Name</t>
  </si>
  <si>
    <t>CLI Trigger</t>
  </si>
  <si>
    <t>Core Methodology &amp; Framework</t>
  </si>
  <si>
    <t>IntelliAuth Use Case Application</t>
  </si>
  <si>
    <t>Standard Output Deliverable</t>
  </si>
  <si>
    <t>BLUF -&gt; Goals/Non-Goals -&gt; Stories -&gt; Technical/AI Specs -&gt; Edge Cases -&gt; Metrics</t>
  </si>
  <si>
    <t>Specifies IntelliAuth clinical extraction, Da Vinci PAS API contracts, latency budgets (&lt;45s), and MCG rule checks.</t>
  </si>
  <si>
    <t>Complete Technical Product Requirement Document (PRD) with Given/When/Then criteria</t>
  </si>
  <si>
    <t>RICE / ICE Quantitative Matrix = (Reach * Impact * Confidence) / Effort</t>
  </si>
  <si>
    <t>Evaluates and force-ranks 8 Prior Auth features (FHIR Da Vinci vs PDF OCR vs Provider Portal vs Denial Drafter).</t>
  </si>
  <si>
    <t>Prioritization scoring table, 2x2 Impact-Effort matrix, and phased release sequencing</t>
  </si>
  <si>
    <t>Thematic Clustering -&gt; JTBD Mapping -&gt; Persona Validation -&gt; Pain/Frequency Matrix</t>
  </si>
  <si>
    <t>Synthesizes 24 interviews with Payer Nurses &amp; Intake Coordinators. Uncovers 'Fax Abyss' and citation distrust.</t>
  </si>
  <si>
    <t>Affinity cluster report, prioritized JTBD hierarchy, and evidence-backed product recommendations</t>
  </si>
  <si>
    <t>GTM Readiness -&gt; Observability -&gt; Rollback Gates -&gt; Compliance Sign-offs</t>
  </si>
  <si>
    <t>Production release gates for 50-clinic payer pilot. Sets rollback triggers on 2% denial discrepancy.</t>
  </si>
  <si>
    <t>Cross-functional release checklist with SLA gates, kill switches, and legal sign-off status</t>
  </si>
  <si>
    <t>BLUF -&gt; Business Context -&gt; Options -&gt; Trade-offs -&gt; Recommended Path -&gt; Explicit Ask</t>
  </si>
  <si>
    <t>Executive memo to CMO and VP of Operations proposing $3.2M budget allocation for AI radiology pre-auth.</t>
  </si>
  <si>
    <t>1-Page Executive Decision Paper optimized for rapid C-suite sign-off</t>
  </si>
  <si>
    <t>North Star Metric (NSM) -&gt; Input Drivers -&gt; Guardrail Counter-Metrics -&gt; Health Telemetry</t>
  </si>
  <si>
    <t>Architects telemetry hierarchy: NSM (Median TAT &lt;2 hrs), Drivers (Auto-Approval Rate 42%), Guardrails (Appeal Rate &lt;1%).</t>
  </si>
  <si>
    <t>Telemetry instrumentation schema, KPI dashboard layout, and alert threshold matrix</t>
  </si>
  <si>
    <t>Executive Refactoring: Eliminate passive voice, bold core insights, BLUF structuring</t>
  </si>
  <si>
    <t>Refactors rambling engineering post-mortem on 150-page chart timeouts into high-impact executive prose.</t>
  </si>
  <si>
    <t>Concise, scannable incident memo with root cause and remediation timeline</t>
  </si>
  <si>
    <t>Mission Alignment -&gt; User Segmentation -&gt; Pain Prioritization -&gt; 10x Solutions -&gt; Trade-offs</t>
  </si>
  <si>
    <t>Solves ambiguous challenge: 'Design AI Prior Auth for High-Complexity Oncology'. Concepts 'OncoPass EHR plugin'.</t>
  </si>
  <si>
    <t>Deconstructed problem brief, 3 solution archetypes (Incremental to Moonshot), and trade-off analysis</t>
  </si>
  <si>
    <t>Market Landscape -&gt; Strategic Options -&gt; Moat Audit -&gt; Build vs Buy Matrix -&gt; 3-Yr Vision</t>
  </si>
  <si>
    <t>Constructs 3-year strategic moat around proprietary clinical rule graphs and Da Vinci FHIR point-of-care lock-in.</t>
  </si>
  <si>
    <t>Defensibility scorecard, Build vs Buy decision matrix, and long-term capability roadmap</t>
  </si>
  <si>
    <t>MECE Problem Dissection -&gt; Segment Breakdown -&gt; Hypothesis Tree -&gt; Validation Plan</t>
  </si>
  <si>
    <t>Diagnoses sudden 22% drop in Cardiology auto-approvals. Isolates CPT-93458 pre-requisite statin trial policy update.</t>
  </si>
  <si>
    <t>MECE root-cause diagnostic tree, validation queries, and immediate operational mitigations</t>
  </si>
  <si>
    <t>System Architecture -&gt; Data Contracts -&gt; Latency/Token Budgets -&gt; Reliability &amp; Fallbacks</t>
  </si>
  <si>
    <t>Defines JSON payload contracts for LLM Adjudication, Da Vinci CRD/DTR hooks, and p95 latency SLIs.</t>
  </si>
  <si>
    <t>Architectural data flow diagram, OpenAPI JSON schema specifications, and failure mode matrix</t>
  </si>
  <si>
    <t>Enhanced STAR+R: Situation (10%) -&gt; Task (10%) -&gt; Action (60%) -&gt; Result (15%) -&gt; Reflection (5%)</t>
  </si>
  <si>
    <t>Leadership narrative on resolving high-stakes deadlock between Data Science and CMO regarding confidence thresholds.</t>
  </si>
  <si>
    <t>400-Word executive STAR+R interview story with calibrated leadership and governance signals</t>
  </si>
  <si>
    <t>7-Part Audit: Value Prop -&gt; 10x UX -&gt; Model Architecture -&gt; Flywheels -&gt; Moats -&gt; Risks</t>
  </si>
  <si>
    <t>Deep teardown of Epic Payer Platform &amp; Cohere Health. Evaluates SLM extraction vs Frontier reasoning models.</t>
  </si>
  <si>
    <t>7-Section teardown dossier highlighting architectural trade-offs and structural vulnerabilities</t>
  </si>
  <si>
    <t>Value Chain Mapping -&gt; 2x2 Positioning Map -&gt; Moat Analysis -&gt; Consolidation Dynamics</t>
  </si>
  <si>
    <t>Maps 4 competitive quadrants: EHR Giants, Payer AI Engines, Provider Clearinghouses, and Vertical OCR Startups.</t>
  </si>
  <si>
    <t>Market map matrix, vendor differentiation vectors, and white-space opportunity summary</t>
  </si>
  <si>
    <t>Context -&gt; Strategic Dilemma -&gt; Options Evaluated -&gt; Execution Path -&gt; Post-Mortem Lessons</t>
  </si>
  <si>
    <t>Analyzes the market disruption triggered by CMS-0057-F mandate and why first-mover FHIR native platforms won.</t>
  </si>
  <si>
    <t>Business-school style case study detailing regulatory-driven product strategy</t>
  </si>
  <si>
    <t>Capability vs Safety Matrix -&gt; Abuse Audit -&gt; Hallucination Tolerance -&gt; Governance Policy</t>
  </si>
  <si>
    <t>Establishes Asymmetric Autonomy: LLM can issue touchless approvals but CANNOT issue denials autonomously.</t>
  </si>
  <si>
    <t>AI clinical safety policy, explainability audit protocol, and regulatory compliance declaration</t>
  </si>
  <si>
    <t>Persona Emulation -&gt; Multi-Turn Probing -&gt; Rubric Scoring -&gt; Actionable Calibration</t>
  </si>
  <si>
    <t>Simulates executive cross-examination on handling an erroneous AI surgery approval during claims settlement.</t>
  </si>
  <si>
    <t>Interactive scenario transcript, rubric scorecard, and prioritized improvement feedback</t>
  </si>
  <si>
    <t>CATEGORY 1: PM WORKFLOW SKILLS (INTELLIAUTH EXECUTION)</t>
  </si>
  <si>
    <t>Detailed product management deliverables: PRD, RICE Priorities, User Research, Launch Gates, Stakeholder Brief, Metrics, PM Prose</t>
  </si>
  <si>
    <t>Framework / Skill</t>
  </si>
  <si>
    <t>Section / Component</t>
  </si>
  <si>
    <t>Detailed Content &amp; Specifications</t>
  </si>
  <si>
    <t>Target Metric / KPI</t>
  </si>
  <si>
    <t>Implementation Note</t>
  </si>
  <si>
    <t>Status</t>
  </si>
  <si>
    <t>PRD Writer (/prd-writer)</t>
  </si>
  <si>
    <t>BLUF &amp; Vision</t>
  </si>
  <si>
    <t>IntelliAuth ingests unstructured EHR clinical notes, maps patient history against payer medical policies (MCG/InterQual), and provides real-time touchless approvals for compliant requests to reduce TAT from 5 days to under 60 seconds.</t>
  </si>
  <si>
    <t>TAT &lt; 60s</t>
  </si>
  <si>
    <t>Phase 1 Core Vision</t>
  </si>
  <si>
    <t>Active</t>
  </si>
  <si>
    <t>In-Scope (P0)</t>
  </si>
  <si>
    <t>1. Real-time clinical extraction from FHIR/PDF charts.
2. Deterministic matching against CMS/Payer policy guidelines.
3. Touchless auto-approval engine with citation highlights.</t>
  </si>
  <si>
    <t>Extraction Recall &gt;= 98%</t>
  </si>
  <si>
    <t>Da Vinci PAS compliant</t>
  </si>
  <si>
    <t>In Dev</t>
  </si>
  <si>
    <t>Out-of-Scope (Non-Goals)</t>
  </si>
  <si>
    <t>Autonomous adverse determinations/denials. All potential denials MUST route to a licensed Medical Director per CMS-0057-F compliance.</t>
  </si>
  <si>
    <t>0 Autonomous Denials</t>
  </si>
  <si>
    <t>Regulatory constraint</t>
  </si>
  <si>
    <t>Enforced</t>
  </si>
  <si>
    <t>User Stories &amp; Acceptance</t>
  </si>
  <si>
    <t>Given an incoming prior auth request with attached PDF clinical charts, When extraction runs, Then extract ICD-10, CPT, and lab values with &gt;=98% recall.
Given an auto-approval, When shown to review nurse, Then highlight exact sentence in source PDF chart.</t>
  </si>
  <si>
    <t>Citation Accuracy 100%</t>
  </si>
  <si>
    <t>Given/When/Then format</t>
  </si>
  <si>
    <t>System Specs &amp; Guardrails</t>
  </si>
  <si>
    <t>Latency: &lt;=3s for synchronous FHIR; &lt;=45s for 100-page PDF charts.
Model confidence threshold: &gt;=0.92 for auto-approval. Fallback to human review queue if &lt;0.92.</t>
  </si>
  <si>
    <t>p95 Latency &lt;= 45s</t>
  </si>
  <si>
    <t>Multi-region cluster</t>
  </si>
  <si>
    <t>Prioritization Matrix (/prioritization-matrix)</t>
  </si>
  <si>
    <t>Scoring Methodology</t>
  </si>
  <si>
    <t>RICE Scoring Model = (Reach * Impact * Confidence) / Effort.
Evaluates 8 candidate roadmap initiatives to ensure highest ROI sequencing.</t>
  </si>
  <si>
    <t>Max RICE Score</t>
  </si>
  <si>
    <t>Quarterly cadence</t>
  </si>
  <si>
    <t>P0 Quick Wins</t>
  </si>
  <si>
    <t>1. Direct FHIR Da Vinci (CRD/DTR/PAS) Integration (RICE: 100,000)
2. Multimodal PDF Table &amp; Lab Extractor (RICE: 90,000)</t>
  </si>
  <si>
    <t>Immediate 40% TAT Drop</t>
  </si>
  <si>
    <t>Sprint 1-4</t>
  </si>
  <si>
    <t>Committed</t>
  </si>
  <si>
    <t>P1 &amp; P2 Roadmap</t>
  </si>
  <si>
    <t>P1: Automated Clinical Denial Drafting in HITL Queue (RICE: 42,000)
P2: Doctor-Facing Predictive Approval Widget (RICE: 8,000)</t>
  </si>
  <si>
    <t>NPS +25 pts</t>
  </si>
  <si>
    <t>Sprint 5-8</t>
  </si>
  <si>
    <t>Planned</t>
  </si>
  <si>
    <t>User Research (/user-research-synthesis)</t>
  </si>
  <si>
    <t>Key Finding 1: Fax Abyss</t>
  </si>
  <si>
    <t>Intake coordinators spend 45% of working hours manually copy-pasting lab values into payer web portals. Massive burnout and data entry error vector.</t>
  </si>
  <si>
    <t>Admin Time -45%</t>
  </si>
  <si>
    <t>24 User Interviews</t>
  </si>
  <si>
    <t>Validated</t>
  </si>
  <si>
    <t>Key Finding 2: Citation Trust</t>
  </si>
  <si>
    <t>Payer review nurses completely distrust AI summaries unless they can click through to the original highlighted medical chart page immediately.</t>
  </si>
  <si>
    <t>Trust Score 9.4/10</t>
  </si>
  <si>
    <t>UI Anchor Requirement</t>
  </si>
  <si>
    <t>JTBD Statement</t>
  </si>
  <si>
    <t>'When I submit a specialty drug request, I want immediate confirmation of missing clinical requirements, so I do not waste 14 days waiting for an RFI rejection.'</t>
  </si>
  <si>
    <t>RFI Rejections -80%</t>
  </si>
  <si>
    <t>Feature: Pre-Flight Check</t>
  </si>
  <si>
    <t>Launch Checklist (/launch-checklist)</t>
  </si>
  <si>
    <t>GTM &amp; Clinical Gates</t>
  </si>
  <si>
    <t>Clinical Advisory Board sign-off on guideline prompt accuracy.
Training modules completed for 50 pilot intake nurses.
State-level algorithmic disclosures filed.</t>
  </si>
  <si>
    <t>100% Sign-off</t>
  </si>
  <si>
    <t>Legal &amp; Compliance</t>
  </si>
  <si>
    <t>Pending</t>
  </si>
  <si>
    <t>Rollback / Kill Switches</t>
  </si>
  <si>
    <t>Trigger rollback if auto-approval disagreement with Medical Directors exceeds 2.0%.
Trigger rollback if p95 latency exceeds 60 seconds.</t>
  </si>
  <si>
    <t>Disagreement &lt; 2.0%</t>
  </si>
  <si>
    <t>Automated PagerDuty</t>
  </si>
  <si>
    <t>Configured</t>
  </si>
  <si>
    <t>Stakeholder Brief (/stakeholder-brief)</t>
  </si>
  <si>
    <t>Executive Pitch to CMO</t>
  </si>
  <si>
    <t>BLUF: Transitioning 40 high-volume outpatient radiology procedures to automated AI prior auth will reduce processing costs by 68% ($3.2M annual savings) and lower TAT from 72h to &lt;2 mins.</t>
  </si>
  <si>
    <t>Opex -$3.2M / yr</t>
  </si>
  <si>
    <t>Board Approved</t>
  </si>
  <si>
    <t>Delivered</t>
  </si>
  <si>
    <t>Metric Dashboard (/metric-dashboard)</t>
  </si>
  <si>
    <t>North Star &amp; Input Drivers</t>
  </si>
  <si>
    <t>North Star: Median Turnaround Time (TAT) in hours (&lt;2h target).
Input Driver 1: Touchless Auto-Approval Rate (40-45% target).
Input Driver 2: Document Extraction F1 Score (&gt;0.95).</t>
  </si>
  <si>
    <t>TAT &lt; 2 Hours</t>
  </si>
  <si>
    <t>Datadog / Tableau</t>
  </si>
  <si>
    <t>Guardrail Counter-Metrics</t>
  </si>
  <si>
    <t>1. Overturn / Appeal Reversal Rate (&lt;1.0% limit).
2. Payer-Provider Friction Index.
3. Model Drift Alert: Auto-approval rate deviates &gt; +/-15% WoW.</t>
  </si>
  <si>
    <t>Appeals &lt; 1.0%</t>
  </si>
  <si>
    <t>Real-time Slack Alert</t>
  </si>
  <si>
    <t>PM Writing (/pm-writing)</t>
  </si>
  <si>
    <t>Executive Incident Memo</t>
  </si>
  <si>
    <t>Refactored unstructured latency incident report into structured BLUF memo: Problem, Technical Root Cause (Unbatched PDF context), Remediation (Chunking pipeline), and Restored p95 SLA (18s).</t>
  </si>
  <si>
    <t>Reading Time -70%</t>
  </si>
  <si>
    <t>Best Practice Prose</t>
  </si>
  <si>
    <t>Published</t>
  </si>
  <si>
    <t>CATEGORY 2: PRODUCT THINKING &amp; STRATEGIC REASONING</t>
  </si>
  <si>
    <t>Strategic and analytical methodologies: Product Sense, Moat Strategy, MECE Root-Cause Diagnostics, Technical Specs, Behavioral Leadership</t>
  </si>
  <si>
    <t>Methodology Pillar</t>
  </si>
  <si>
    <t>Strategic Scenario / Application</t>
  </si>
  <si>
    <t>Structured Framework Analysis</t>
  </si>
  <si>
    <t>Key Decision / Outcome</t>
  </si>
  <si>
    <t>Maturity</t>
  </si>
  <si>
    <t>Product Sense (/product-sense)</t>
  </si>
  <si>
    <t>Ambiguous Problem Framing</t>
  </si>
  <si>
    <t>Design AI Prior Auth for High-Complexity Oncology</t>
  </si>
  <si>
    <t>1. Target Persona: Oncology Nurse Navigator.
2. Friction: 10-14 day delay causes tumor progression; 70% denials from missing genetic biomarkers (NGS).
3. 10x Concept: 'OncoPass Engine' ambient EHR plugin.</t>
  </si>
  <si>
    <t>Selected Concept 2: Ambient point-of-care biomarker validation</t>
  </si>
  <si>
    <t>High</t>
  </si>
  <si>
    <t>10x Solution Spectrum</t>
  </si>
  <si>
    <t>Solution Comparison: Incremental vs 10x vs Moonshot</t>
  </si>
  <si>
    <t>1. Incremental: OCR pre-flight uploader.
2. 10x Native: OncoPass ambient EHR agent auto-assembling clinical necessity dossier.
3. Moonshot: Decentralized cryptographic consensus between payer and provider.</t>
  </si>
  <si>
    <t>Prioritized 10x Native OncoPass on Epic App Orchard</t>
  </si>
  <si>
    <t>Product Strategy (/product-strategy)</t>
  </si>
  <si>
    <t>Moat &amp; Defensibility</t>
  </si>
  <si>
    <t>3-Year Defensibility Analysis</t>
  </si>
  <si>
    <t>1. Data Moat: Proprietary graph of 50,000+ local commercial payer policy nuances mapped to EHR clinical phrasing.
2. Switching Costs: Deep Da Vinci FHIR hooks inside EHR workflows.
3. Network Effects: Shared payer guideline rule library.</t>
  </si>
  <si>
    <t>Build high-switching-cost EHR integration</t>
  </si>
  <si>
    <t>P0 Strategic</t>
  </si>
  <si>
    <t>Build vs Buy Analysis</t>
  </si>
  <si>
    <t>Core Infrastructure Allocation</t>
  </si>
  <si>
    <t>Build: Clinical Guideline Extraction &amp; LLM Adjudication Engine (Proprietary IP).
Buy / Partner: OCR Document Ingestion layer (Azure Doc Intelligence) and FHIR interoperability pipelines.</t>
  </si>
  <si>
    <t>Core IP focused entirely on Clinical Adjudication</t>
  </si>
  <si>
    <t>Analytical PM (/analytical-pm)</t>
  </si>
  <si>
    <t>MECE Diagnostic Tree</t>
  </si>
  <si>
    <t>Root-Cause: Cardiology Auto-Approval Drops from 44% to 22%</t>
  </si>
  <si>
    <t>MECE Dissection:
1. External Data Format Shift (e.g. handwritten scans)
2. Model / Extraction Degradation (ICD-10 F1 drop)
3. Policy / Guideline Rule Update
4. Inbound Traffic Mix Shift</t>
  </si>
  <si>
    <t>Isolate to Payer X CPT-93458 Statin requirement change</t>
  </si>
  <si>
    <t>Diagnostic</t>
  </si>
  <si>
    <t>Remediation &amp; Action Plan</t>
  </si>
  <si>
    <t>Payer Guideline Update Resolution</t>
  </si>
  <si>
    <t>1. Cohort split by procedure &amp; payer confirmed drop isolated to Payer X.
2. Discovered Payer X introduced pre-requisite 6-week statin trial rule.
3. Action: Updated guideline vector DB and added pre-flight statin prompt check.</t>
  </si>
  <si>
    <t>Restored auto-approval rate back to 43.8% in 48 hours</t>
  </si>
  <si>
    <t>Resolved</t>
  </si>
  <si>
    <t>Technical PM (/technical-pm)</t>
  </si>
  <si>
    <t>System Architecture</t>
  </si>
  <si>
    <t>End-to-End Clinical Ingestion &amp; Adjudication Pipeline</t>
  </si>
  <si>
    <t>EHR (FHIR PAS/PDF) -&gt; Ingestion/OCR -&gt; Hybrid Vector Policy DB (MCG/InterQual) -&gt; LLM Adjudicator -&gt; Strict Decision Split (Confidence &gt;=0.92 = Auto-Approve; Confidence &lt;0.92 = Human HITL Queue).</t>
  </si>
  <si>
    <t>Deterministic safety gate architecture enforced</t>
  </si>
  <si>
    <t>Production</t>
  </si>
  <si>
    <t>Data Contract &amp; SLA</t>
  </si>
  <si>
    <t>OpenAPI JSON Adjudication Payload</t>
  </si>
  <si>
    <t>Payload schema includes: auth_id, patient_id, cpt_code, adjudication_status, confidence_score, guideline_id, criteria_evaluations, and citation {document_id, page, text}.</t>
  </si>
  <si>
    <t>Zero-hallucination citation contract</t>
  </si>
  <si>
    <t>Behavioral PM (/behavioral-pm)</t>
  </si>
  <si>
    <t>Enhanced STAR+R Story</t>
  </si>
  <si>
    <t>Resolving Deadlock: Data Science vs Chief Medical Officer</t>
  </si>
  <si>
    <t>Situation: DS wanted to lower threshold (0.95-&gt;0.85) for marketing claim; CMO threatened to block launch.
Task: Align teams empirically.
Action: Ran blind test of 2,000 cases; proved AI error at 0.91 (0.4%) was lower than human variance (2.1%).
Result: Launch achieved 42% auto-approval with 0 violations.
Reflection: Ground domain disputes in parity benchmarks.</t>
  </si>
  <si>
    <t>Executive storytelling framework</t>
  </si>
  <si>
    <t>Calibrated</t>
  </si>
  <si>
    <t>CATEGORY 3: AI DOMAIN DEPTH, ETHICS &amp; INDUSTRY BENCHMARKS</t>
  </si>
  <si>
    <t>AI product teardowns, competitive landscapes, regulatory case studies, ethics guardrails, and mock disaster interviews</t>
  </si>
  <si>
    <t>Domain Focus Area</t>
  </si>
  <si>
    <t>Industry Baseline / Target Context</t>
  </si>
  <si>
    <t>Deep Dive Evaluation &amp; Analysis</t>
  </si>
  <si>
    <t>PM Action &amp; Policy Implication</t>
  </si>
  <si>
    <t>Governance Level</t>
  </si>
  <si>
    <t>AI Product Teardown (/ai-product-teardown)</t>
  </si>
  <si>
    <t>Competitor Architecture Audit</t>
  </si>
  <si>
    <t>Teardown: Epic Payer Platform &amp; Cohere Health</t>
  </si>
  <si>
    <t>Evaluated SLM vs Frontier LLM trade-offs. Epic has distribution but slow release cycles. Cohere has utilization management depth but high provider friction. Vulnerability: Inflexible PDF table extraction.</t>
  </si>
  <si>
    <t>Capitalize on multimodal table/lab extraction superiority</t>
  </si>
  <si>
    <t>Strategic</t>
  </si>
  <si>
    <t>AI Market Landscape (/ai-market-landscape)</t>
  </si>
  <si>
    <t>Competitive Positioning</t>
  </si>
  <si>
    <t>4 Quadrants: EHR Giants, Payer AI, Clearinghouses, AI Startups</t>
  </si>
  <si>
    <t>EHR Giants: Epic/Oracle (Distribution moat, legacy tech).
Payer AI: Cohere/Basys (UM focus, low doctor NPS).
Clearinghouses: Waystar/Availity (Legacy batch debt).
Vertical AI: IntelliAuth/Tennr (Real-time speed, API-first).</t>
  </si>
  <si>
    <t>Position IntelliAuth as the high-speed real-time FHIR clearing layer</t>
  </si>
  <si>
    <t>Market P0</t>
  </si>
  <si>
    <t>Value Chain Shift</t>
  </si>
  <si>
    <t>CMS-0057-F Interoperability Mandate Impact</t>
  </si>
  <si>
    <t>CMS mandate forces payers to implement FHIR APIs by 2026/2027 and respond within 72h (urgent) and 7 days (standard). Regulatory deadline destroys legacy 14-day manual turnaround windows.</t>
  </si>
  <si>
    <t>Standardize all APIs on HL7 Da Vinci CRD/DTR/PAS</t>
  </si>
  <si>
    <t>Regulatory</t>
  </si>
  <si>
    <t>PM Case Study (/pm-case-study)</t>
  </si>
  <si>
    <t>Regulatory Disruption Playbook</t>
  </si>
  <si>
    <t>Case Study: First-Mover Advantage in CMS-0057-F</t>
  </si>
  <si>
    <t>Payers facing mandate had to choose between hiring 1,000s of offshore review nurses or deploying automated AI. Early adopters of Da Vinci standards captured 60% of new enterprise payer RFPs.</t>
  </si>
  <si>
    <t>Prioritize open Da Vinci standards over closed proprietary portals</t>
  </si>
  <si>
    <t>AI Ethics &amp; Trade-offs (/ai-ethics-tradeoffs)</t>
  </si>
  <si>
    <t>Asymmetric Autonomy Policy</t>
  </si>
  <si>
    <t>Core Clinical Safety &amp; Liability Policy</t>
  </si>
  <si>
    <t>MANDATE: The model is authorized to APPROVE compliant requests (speeding up patient care), but is STRICTLY FORBIDDEN from issuing adverse determinations (denials) autonomously.</t>
  </si>
  <si>
    <t>Zero autonomous denial policy permanently hardcoded in router</t>
  </si>
  <si>
    <t>Strict Mandate</t>
  </si>
  <si>
    <t>Explainability &amp; Auditability</t>
  </si>
  <si>
    <t>Sentence-Level Citation Audit Trail</t>
  </si>
  <si>
    <t>Every automated approval logs exact EHR snippet, page number, document ID, and bounding box coordinates into an immutable HIPAA audit log. Zero black-box decisions permitted.</t>
  </si>
  <si>
    <t>100% Citation logging required for all auto-approvals</t>
  </si>
  <si>
    <t>Compliance</t>
  </si>
  <si>
    <t>Mock Interviewer (/mock-interviewer)</t>
  </si>
  <si>
    <t>Incident Triage Simulation</t>
  </si>
  <si>
    <t>Disputed Surgery Post-Authorization Scenario</t>
  </si>
  <si>
    <t>Simulation Steps:
1. Triage &amp; Containment: Audit prompt/model version.
2. Member Protection: Hold patient harmless from surprise billing.
3. Root Cause Analysis: Audit extraction log vs chart notes.
4. System Hardening: Add few-shot regression tests.</t>
  </si>
  <si>
    <t>Calibrated disaster response &amp; root-cause playbooks</t>
  </si>
  <si>
    <t>Operational</t>
  </si>
  <si>
    <t>PRIOR AUTHORIZATION FEATURE BACKLOG — RICE SCORING ENGINE</t>
  </si>
  <si>
    <t>Interactive quantitative scoring matrix. RICE Score Formula = (Reach * Impact * Confidence) / Effort</t>
  </si>
  <si>
    <t>Initiative / Feature Name</t>
  </si>
  <si>
    <t>Reach
(Reqs / Quarter)</t>
  </si>
  <si>
    <t>Impact Score
(0.25=Min to 3.0=Massive)</t>
  </si>
  <si>
    <t>Confidence
(50% to 100%)</t>
  </si>
  <si>
    <t>Effort
(Person-Months)</t>
  </si>
  <si>
    <t>Calculated
RICE Score</t>
  </si>
  <si>
    <t>Calculated
Rank</t>
  </si>
  <si>
    <t>Target Delivery
Phase</t>
  </si>
  <si>
    <t>Direct FHIR Da Vinci (CRD/DTR/PAS) Integration</t>
  </si>
  <si>
    <t>Phase 1 (Now)</t>
  </si>
  <si>
    <t>Multimodal Unstructured PDF Table &amp; Lab Extractor</t>
  </si>
  <si>
    <t>Automated Clinical Denial Drafting (HITL Queue)</t>
  </si>
  <si>
    <t>Phase 2 (Next)</t>
  </si>
  <si>
    <t>Pre-Flight Missing Biomarker / Lab Alert for Doctors</t>
  </si>
  <si>
    <t>Real-Time Payer Medical Policy Vector Sync Engine</t>
  </si>
  <si>
    <t>Doctor-Facing Predictive Approval Probability Widget</t>
  </si>
  <si>
    <t>Phase 3 (Later)</t>
  </si>
  <si>
    <t>Automated Peer-to-Peer Scheduling Assistant</t>
  </si>
  <si>
    <t>Retrospective Claims Denial Appeal Auto-Generator</t>
  </si>
  <si>
    <t>PORTFOLIO TOTAL / WEIGHTED AVERAGE</t>
  </si>
  <si>
    <t>-</t>
  </si>
  <si>
    <t>TECHNICAL SPECIFICATIONS &amp; DA VINCI FHIR DATA CONTRACT</t>
  </si>
  <si>
    <t>HL7 Da Vinci Interoperability Protocols, Latency SLA Budgets, and LLM Adjudication JSON Payload Schema</t>
  </si>
  <si>
    <t>1. HL7 DA VINCI FHIR PROTOCOL SPECIFICATIONS</t>
  </si>
  <si>
    <t>Standard Protocol</t>
  </si>
  <si>
    <t>Implementation Guide</t>
  </si>
  <si>
    <t>Purpose / Direction</t>
  </si>
  <si>
    <t>FHIR Resources Used</t>
  </si>
  <si>
    <t>Latency Target</t>
  </si>
  <si>
    <t>IntelliAuth Role</t>
  </si>
  <si>
    <t>CRD (Coverage Requirements Discovery)</t>
  </si>
  <si>
    <t>HL7 FHIR STU 2.0.1</t>
  </si>
  <si>
    <t>Provider -&gt; Payer
Identifies if Prior Auth is required at point of order</t>
  </si>
  <si>
    <t>Coverage, DeviceRequest, ServiceRequest, MedicationRequest</t>
  </si>
  <si>
    <t>&lt; 1,500 ms</t>
  </si>
  <si>
    <t>Evaluates incoming CPT/HCPCS code against active payer pre-auth master index</t>
  </si>
  <si>
    <t>DTR (Documentation Templates and Rules)</t>
  </si>
  <si>
    <t>HL7 FHIR STU 2.0.0</t>
  </si>
  <si>
    <t>Payer -&gt; Provider
Extracts clinical questionnaire &amp; requirements into EHR</t>
  </si>
  <si>
    <t>Questionnaire, QuestionnaireResponse, StructuredDataCapture</t>
  </si>
  <si>
    <t>&lt; 3,000 ms</t>
  </si>
  <si>
    <t>Auto-populates CQL rules and unstructured prompt templates inside provider EHR</t>
  </si>
  <si>
    <t>PAS (Prior Authorization Support)</t>
  </si>
  <si>
    <t>Provider -&gt; Payer
Transmits clinical necessity bundle &amp; receives approval</t>
  </si>
  <si>
    <t>Claim, ClaimResponse, Bundle, DocumentReference</t>
  </si>
  <si>
    <t>&lt; 5,000 ms</t>
  </si>
  <si>
    <t>Core AI engine ingests PAS bundle, runs rule matching, and returns instant ClaimResponse</t>
  </si>
  <si>
    <t>2. LLM ADJUDICATION PAYLOAD DATA CONTRACT (PRODUCTION SCHEMA)</t>
  </si>
  <si>
    <t>{</t>
  </si>
  <si>
    <t xml:space="preserve">  "$schema": "https://json-schema.org/draft/2020-12/schema",</t>
  </si>
  <si>
    <t xml:space="preserve">  "title": "IntelliAuth_AdjudicationResponse",</t>
  </si>
  <si>
    <t xml:space="preserve">  "type": "object",</t>
  </si>
  <si>
    <t xml:space="preserve">  "properties": {</t>
  </si>
  <si>
    <t xml:space="preserve">    "auth_id": { "type": "string", "example": "auth_981273_onc" },</t>
  </si>
  <si>
    <t xml:space="preserve">    "patient_id": { "type": "string", "example": "pat_4401" },</t>
  </si>
  <si>
    <t xml:space="preserve">    "cpt_code": { "type": "string", "example": "96413" },</t>
  </si>
  <si>
    <t xml:space="preserve">    "adjudication_status": { "type": "string", "enum": ["AUTO_APPROVED", "MANUAL_REVIEW_REQUIRED", "REJECTED_DEFICIENT"] },</t>
  </si>
  <si>
    <t xml:space="preserve">    "confidence_score": { "type": "number", "minimum": 0.0, "maximum": 1.0, "example": 0.964 },</t>
  </si>
  <si>
    <t xml:space="preserve">    "execution_time_ms": { "type": "integer", "example": 1420 },</t>
  </si>
  <si>
    <t xml:space="preserve">    "guideline_evaluations": {</t>
  </si>
  <si>
    <t xml:space="preserve">      "type": "array",</t>
  </si>
  <si>
    <t xml:space="preserve">      "items": {</t>
  </si>
  <si>
    <t xml:space="preserve">        "guideline_id": { "type": "string", "example": "MCG-AC-041" },</t>
  </si>
  <si>
    <t xml:space="preserve">        "requirement": { "type": "string", "example": "Documented failure of first-line FOLFOX chemotherapy" },</t>
  </si>
  <si>
    <t xml:space="preserve">        "satisfied": { "type": "boolean", "example": true },</t>
  </si>
  <si>
    <t xml:space="preserve">        "citation": {</t>
  </si>
  <si>
    <t xml:space="preserve">          "document_id": { "type": "string", "example": "doc_882_ehr" },</t>
  </si>
  <si>
    <t xml:space="preserve">          "page_number": { "type": "integer", "example": 4 },</t>
  </si>
  <si>
    <t xml:space="preserve">          "bounding_box": [120.5, 450.2, 510.0, 480.0],</t>
  </si>
  <si>
    <t xml:space="preserve">          "extracted_text": "Patient demonstrated disease progression on FOLFOX as of Jan 14 oncology notes."        }</t>
  </si>
  <si>
    <t xml:space="preserve">      }</t>
  </si>
  <si>
    <t xml:space="preserve">    }</t>
  </si>
  <si>
    <t xml:space="preserve">  },</t>
  </si>
  <si>
    <t xml:space="preserve">  "required": ["auth_id", "patient_id", "cpt_code", "adjudication_status", "confidence_score", "guideline_evaluations"]</t>
  </si>
  <si>
    <t>}</t>
  </si>
  <si>
    <t>Workbook Architecture &amp; Structure</t>
  </si>
  <si>
    <t>Worksheet Tab</t>
  </si>
  <si>
    <t>Contents &amp; Scope</t>
  </si>
  <si>
    <t>Key Formats &amp; Formulas</t>
  </si>
  <si>
    <t>Executive Summary</t>
  </si>
  <si>
    <t>Project overview, business pillars, executive KPI cards (Turnaround Time, Touchless Rate, OpEx Savings, Guardrails), and 17-skill roadmap matrix.</t>
  </si>
  <si>
    <t>Formatted KPI cards, visual hierarchy, category color tags.</t>
  </si>
  <si>
    <t>Master Skills Catalog</t>
  </si>
  <si>
    <r>
      <t>Complete catalog of all 17 PM skills with CLI commands (</t>
    </r>
    <r>
      <rPr>
        <sz val="10"/>
        <color theme="1"/>
        <rFont val="Google Sans Text"/>
        <family val="2"/>
      </rPr>
      <t>/prd-writer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/analytical-pm</t>
    </r>
    <r>
      <rPr>
        <sz val="11"/>
        <color theme="1"/>
        <rFont val="Arial"/>
        <family val="2"/>
      </rPr>
      <t>, etc.), methodologies, Prior Auth use cases, and deliverables.</t>
    </r>
  </si>
  <si>
    <t>Full text wrapping, frozen headers, aligned columns.</t>
  </si>
  <si>
    <t>1. PM Workflow Deep-Dive</t>
  </si>
  <si>
    <t>In-depth deliverables for Skills 1–7 (PRD specs, RICE sequencing, user research clusters, release gates, CMO memo, telemetry specs, executive prose).</t>
  </si>
  <si>
    <t>Formatted tables, status badges, target SLIs.</t>
  </si>
  <si>
    <t>2. Product Thinking Deep-Dive</t>
  </si>
  <si>
    <t>In-depth strategic frameworks for Skills 8–12 (Product Sense OncoPass concept, 3-year moat analysis, MECE diagnostic tree, FHIR data pipelines, STAR+R story).</t>
  </si>
  <si>
    <t>Structured analytical trees, maturity tags.</t>
  </si>
  <si>
    <t>3. AI Domain &amp; Governance</t>
  </si>
  <si>
    <t>In-depth domain frameworks for Skills 13–17 (Epic/Cohere teardown, 4-quadrant market map, CMS-0057-F case study, Asymmetric Autonomy policy, disaster triage).</t>
  </si>
  <si>
    <t>Governance classifications, audit mandates.</t>
  </si>
  <si>
    <t>RICE Prioritization Model</t>
  </si>
  <si>
    <t>Interactive feature scoring engine for 8 Prior Auth initiatives across Reach, Impact, Confidence, and Effort.</t>
  </si>
  <si>
    <r>
      <t xml:space="preserve">Dynamic Excel formulas </t>
    </r>
    <r>
      <rPr>
        <sz val="10"/>
        <color theme="1"/>
        <rFont val="Google Sans Text"/>
        <family val="2"/>
      </rPr>
      <t>=(B*C*D)/E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=RANK()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=SUM()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=AVERAGE()</t>
    </r>
    <r>
      <rPr>
        <sz val="11"/>
        <color theme="1"/>
        <rFont val="Arial"/>
        <family val="2"/>
      </rPr>
      <t xml:space="preserve">, conditional color scales, and an </t>
    </r>
    <r>
      <rPr>
        <b/>
        <sz val="11"/>
        <color theme="1"/>
        <rFont val="Arial"/>
        <family val="2"/>
      </rPr>
      <t>embedded Bar Chart</t>
    </r>
    <r>
      <rPr>
        <sz val="11"/>
        <color theme="1"/>
        <rFont val="Arial"/>
        <family val="2"/>
      </rPr>
      <t>.</t>
    </r>
  </si>
  <si>
    <t>Tech Specs &amp; API Contract</t>
  </si>
  <si>
    <t>HL7 Da Vinci FHIR protocol specifications (CRD, DTR, PAS) and a production OpenAPI/JSON Schema payload contract for LLM Adjudication.</t>
  </si>
  <si>
    <t>Monospace code styling, schema validation specifications.</t>
  </si>
  <si>
    <t>Category 1: PM Workflow Skills</t>
  </si>
  <si>
    <r>
      <t>1. PRD Writer (</t>
    </r>
    <r>
      <rPr>
        <b/>
        <sz val="10"/>
        <color theme="1"/>
        <rFont val="Google Sans Text"/>
        <family val="2"/>
      </rPr>
      <t>/prd-writer</t>
    </r>
    <r>
      <rPr>
        <b/>
        <sz val="12"/>
        <color theme="1"/>
        <rFont val="Arial"/>
        <family val="2"/>
      </rPr>
      <t>)</t>
    </r>
  </si>
  <si>
    <r>
      <t>Product: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IntelliAuth — AI-Assisted Clinical Prior Authorization Engine</t>
    </r>
  </si>
  <si>
    <r>
      <t>BLUF</t>
    </r>
    <r>
      <rPr>
        <sz val="11"/>
        <color theme="1"/>
        <rFont val="Arial"/>
        <family val="2"/>
      </rPr>
      <t>: IntelliAuth ingests unstructured electronic health record (EHR) clinical notes, maps patient history against payer medical policies (e.g., MCG, InterQual), and provides real-time touchless approvals for compliant requests to reduce turnaround time from 5 days to under 60 seconds.</t>
    </r>
  </si>
  <si>
    <r>
      <t>Scope</t>
    </r>
    <r>
      <rPr>
        <sz val="11"/>
        <color theme="1"/>
        <rFont val="Arial"/>
        <family val="2"/>
      </rPr>
      <t>:</t>
    </r>
  </si>
  <si>
    <r>
      <t>In-Scope (P0)</t>
    </r>
    <r>
      <rPr>
        <sz val="11"/>
        <color theme="1"/>
        <rFont val="Arial"/>
        <family val="2"/>
      </rPr>
      <t>: Real-time clinical extraction from FHIR/PDF notes; deterministic matching against CMS/Payer policy guidelines; touchless auto-approval engine.</t>
    </r>
  </si>
  <si>
    <r>
      <t>Out-of-Scope (Non-Goals)</t>
    </r>
    <r>
      <rPr>
        <sz val="11"/>
        <color theme="1"/>
        <rFont val="Arial"/>
        <family val="2"/>
      </rPr>
      <t xml:space="preserve">: Autonomous adverse determinations/denials (all potential denials </t>
    </r>
    <r>
      <rPr>
        <i/>
        <sz val="11"/>
        <color theme="1"/>
        <rFont val="Arial"/>
        <family val="2"/>
      </rPr>
      <t>must</t>
    </r>
    <r>
      <rPr>
        <sz val="11"/>
        <color theme="1"/>
        <rFont val="Arial"/>
        <family val="2"/>
      </rPr>
      <t xml:space="preserve"> route to a licensed Medical Director per regulatory compliance).</t>
    </r>
  </si>
  <si>
    <r>
      <t>User Stories &amp; Acceptance Criteria</t>
    </r>
    <r>
      <rPr>
        <sz val="11"/>
        <color theme="1"/>
        <rFont val="Arial"/>
        <family val="2"/>
      </rPr>
      <t>:</t>
    </r>
  </si>
  <si>
    <r>
      <t>Given</t>
    </r>
    <r>
      <rPr>
        <sz val="11"/>
        <color theme="1"/>
        <rFont val="Arial"/>
        <family val="2"/>
      </rPr>
      <t xml:space="preserve"> an incoming prior auth request with attached PDF clinical charts, </t>
    </r>
    <r>
      <rPr>
        <sz val="10"/>
        <color theme="1"/>
        <rFont val="Google Sans Text"/>
        <family val="2"/>
      </rPr>
      <t>When</t>
    </r>
    <r>
      <rPr>
        <sz val="11"/>
        <color theme="1"/>
        <rFont val="Arial"/>
        <family val="2"/>
      </rPr>
      <t xml:space="preserve"> the extraction pipeline runs, </t>
    </r>
    <r>
      <rPr>
        <sz val="10"/>
        <color theme="1"/>
        <rFont val="Google Sans Text"/>
        <family val="2"/>
      </rPr>
      <t>Then</t>
    </r>
    <r>
      <rPr>
        <sz val="11"/>
        <color theme="1"/>
        <rFont val="Arial"/>
        <family val="2"/>
      </rPr>
      <t xml:space="preserve"> it must extract diagnosis codes (ICD-10), procedure codes (CPT), and relevant lab values with $\ge 98\%$ entity extraction recall.</t>
    </r>
  </si>
  <si>
    <r>
      <t>Given</t>
    </r>
    <r>
      <rPr>
        <sz val="11"/>
        <color theme="1"/>
        <rFont val="Arial"/>
        <family val="2"/>
      </rPr>
      <t xml:space="preserve"> an auto-approval recommendation, </t>
    </r>
    <r>
      <rPr>
        <sz val="10"/>
        <color theme="1"/>
        <rFont val="Google Sans Text"/>
        <family val="2"/>
      </rPr>
      <t>When</t>
    </r>
    <r>
      <rPr>
        <sz val="11"/>
        <color theme="1"/>
        <rFont val="Arial"/>
        <family val="2"/>
      </rPr>
      <t xml:space="preserve"> displayed to a review nurse, </t>
    </r>
    <r>
      <rPr>
        <sz val="10"/>
        <color theme="1"/>
        <rFont val="Google Sans Text"/>
        <family val="2"/>
      </rPr>
      <t>Then</t>
    </r>
    <r>
      <rPr>
        <sz val="11"/>
        <color theme="1"/>
        <rFont val="Arial"/>
        <family val="2"/>
      </rPr>
      <t xml:space="preserve"> the UI must highlight the exact sentence in the source PDF chart with a clickable citation anchor.</t>
    </r>
  </si>
  <si>
    <r>
      <t>System Boundaries &amp; AI Specifications</t>
    </r>
    <r>
      <rPr>
        <sz val="11"/>
        <color theme="1"/>
        <rFont val="Arial"/>
        <family val="2"/>
      </rPr>
      <t>:</t>
    </r>
  </si>
  <si>
    <r>
      <t>Latency SLA</t>
    </r>
    <r>
      <rPr>
        <sz val="11"/>
        <color theme="1"/>
        <rFont val="Arial"/>
        <family val="2"/>
      </rPr>
      <t>: $\le 3\text{ seconds}$ for synchronous FHIR requests; $\le 45\text{ seconds}$ for batched 100-page PDF chart reviews.</t>
    </r>
  </si>
  <si>
    <r>
      <t>Fallback</t>
    </r>
    <r>
      <rPr>
        <sz val="11"/>
        <color theme="1"/>
        <rFont val="Arial"/>
        <family val="2"/>
      </rPr>
      <t>: Route to manual queue if model confidence score falls below $0.92$.</t>
    </r>
  </si>
  <si>
    <r>
      <t>Metrics</t>
    </r>
    <r>
      <rPr>
        <sz val="11"/>
        <color theme="1"/>
        <rFont val="Arial"/>
        <family val="2"/>
      </rPr>
      <t>:</t>
    </r>
  </si>
  <si>
    <r>
      <t>North Star</t>
    </r>
    <r>
      <rPr>
        <sz val="11"/>
        <color theme="1"/>
        <rFont val="Arial"/>
        <family val="2"/>
      </rPr>
      <t>: Median Turnaround Time (TAT) in hours.</t>
    </r>
  </si>
  <si>
    <r>
      <t>Guardrail</t>
    </r>
    <r>
      <rPr>
        <sz val="11"/>
        <color theme="1"/>
        <rFont val="Arial"/>
        <family val="2"/>
      </rPr>
      <t>: Overturn/Appeal Reversal Rate ($&lt; 1.5\%$).</t>
    </r>
  </si>
  <si>
    <r>
      <t>2. Prioritization Matrix (</t>
    </r>
    <r>
      <rPr>
        <b/>
        <sz val="10"/>
        <color theme="1"/>
        <rFont val="Google Sans Text"/>
        <family val="2"/>
      </rPr>
      <t>/prioritization-matrix</t>
    </r>
    <r>
      <rPr>
        <b/>
        <sz val="12"/>
        <color theme="1"/>
        <rFont val="Arial"/>
        <family val="2"/>
      </rPr>
      <t>)</t>
    </r>
  </si>
  <si>
    <t>Prior Auth Feature Backlog Scoring (RICE)</t>
  </si>
  <si>
    <t>Initiative</t>
  </si>
  <si>
    <t>Reach (Reqs/Qtr)</t>
  </si>
  <si>
    <t>Impact (0.25–3x)</t>
  </si>
  <si>
    <t>Confidence (%)</t>
  </si>
  <si>
    <t>Effort (Staff-Mo)</t>
  </si>
  <si>
    <t>RICE Score</t>
  </si>
  <si>
    <t>Rank</t>
  </si>
  <si>
    <t>3.0 (Massive)</t>
  </si>
  <si>
    <t>#1</t>
  </si>
  <si>
    <t>2.0 (High)</t>
  </si>
  <si>
    <t>#2</t>
  </si>
  <si>
    <t>1.0 (Medium)</t>
  </si>
  <si>
    <t>#3</t>
  </si>
  <si>
    <t>Predictive "Likelihood of Approval" Widget for Doctors</t>
  </si>
  <si>
    <t>0.5 (Low)</t>
  </si>
  <si>
    <t>#4</t>
  </si>
  <si>
    <r>
      <t>Execution Sequencing</t>
    </r>
    <r>
      <rPr>
        <sz val="11"/>
        <color theme="1"/>
        <rFont val="Arial"/>
        <family val="2"/>
      </rPr>
      <t>:</t>
    </r>
  </si>
  <si>
    <r>
      <t>Phase 1 (Now)</t>
    </r>
    <r>
      <rPr>
        <sz val="11"/>
        <color theme="1"/>
        <rFont val="Arial"/>
        <family val="2"/>
      </rPr>
      <t>: Direct FHIR Integration + PDF Extraction (Core automation driver).</t>
    </r>
  </si>
  <si>
    <r>
      <t>Phase 2 (Next)</t>
    </r>
    <r>
      <rPr>
        <sz val="11"/>
        <color theme="1"/>
        <rFont val="Arial"/>
        <family val="2"/>
      </rPr>
      <t>: Clinical Denial Drafting with Human-in-the-Loop review.</t>
    </r>
  </si>
  <si>
    <r>
      <t>Phase 3 (Later)</t>
    </r>
    <r>
      <rPr>
        <sz val="11"/>
        <color theme="1"/>
        <rFont val="Arial"/>
        <family val="2"/>
      </rPr>
      <t>: Doctor-facing predictive approval telemetry.</t>
    </r>
  </si>
  <si>
    <r>
      <t>3. User Research Synthesis (</t>
    </r>
    <r>
      <rPr>
        <b/>
        <sz val="10"/>
        <color theme="1"/>
        <rFont val="Google Sans Text"/>
        <family val="2"/>
      </rPr>
      <t>/user-research-synthesis</t>
    </r>
    <r>
      <rPr>
        <b/>
        <sz val="12"/>
        <color theme="1"/>
        <rFont val="Arial"/>
        <family val="2"/>
      </rPr>
      <t>)</t>
    </r>
  </si>
  <si>
    <r>
      <t>Data Source</t>
    </r>
    <r>
      <rPr>
        <sz val="11"/>
        <color theme="1"/>
        <rFont val="Arial"/>
        <family val="2"/>
      </rPr>
      <t>: 24 interviews (12 Provider Intake Coordinators, 8 Payer Review Nurses, 4 Medical Directors).</t>
    </r>
  </si>
  <si>
    <r>
      <t>Thematic Clusters</t>
    </r>
    <r>
      <rPr>
        <sz val="11"/>
        <color theme="1"/>
        <rFont val="Arial"/>
        <family val="2"/>
      </rPr>
      <t>:</t>
    </r>
  </si>
  <si>
    <r>
      <t>1. The "Fax-and-Wait" Abyss</t>
    </r>
    <r>
      <rPr>
        <sz val="11"/>
        <color theme="1"/>
        <rFont val="Arial"/>
        <family val="2"/>
      </rPr>
      <t>: Intake coordinators spend 45% of their working hours manually copy-pasting lab values into payer web portals.</t>
    </r>
  </si>
  <si>
    <r>
      <t>2. Citation Anxiety</t>
    </r>
    <r>
      <rPr>
        <sz val="11"/>
        <color theme="1"/>
        <rFont val="Arial"/>
        <family val="2"/>
      </rPr>
      <t>: Payer nurses distrust AI summaries unless they can immediately click through to the original medical chart page.</t>
    </r>
  </si>
  <si>
    <r>
      <t>3. Policy Ambiguity</t>
    </r>
    <r>
      <rPr>
        <sz val="11"/>
        <color theme="1"/>
        <rFont val="Arial"/>
        <family val="2"/>
      </rPr>
      <t>: Payer guidelines update quarterly; review nurses struggle to track active vs. deprecated criteria.</t>
    </r>
  </si>
  <si>
    <r>
      <t>Prioritized Jobs-to-be-Done (JTBD)</t>
    </r>
    <r>
      <rPr>
        <sz val="11"/>
        <color theme="1"/>
        <rFont val="Arial"/>
        <family val="2"/>
      </rPr>
      <t>:</t>
    </r>
  </si>
  <si>
    <t>"When I submit a specialty drug request, I want immediate confirmation of missing clinical requirements, so I do not waste 14 days waiting for a request for information (RFI) rejection."</t>
  </si>
  <si>
    <r>
      <t>Product Recommendation</t>
    </r>
    <r>
      <rPr>
        <sz val="11"/>
        <color theme="1"/>
        <rFont val="Arial"/>
        <family val="2"/>
      </rPr>
      <t>: Build real-time "Missing Document Detection" on upload before submission.</t>
    </r>
  </si>
  <si>
    <r>
      <t>4. Launch Checklist (</t>
    </r>
    <r>
      <rPr>
        <b/>
        <sz val="10"/>
        <color theme="1"/>
        <rFont val="Google Sans Text"/>
        <family val="2"/>
      </rPr>
      <t>/launch-checklist</t>
    </r>
    <r>
      <rPr>
        <b/>
        <sz val="12"/>
        <color theme="1"/>
        <rFont val="Arial"/>
        <family val="2"/>
      </rPr>
      <t>)</t>
    </r>
  </si>
  <si>
    <t>Release Gate: IntelliAuth v1.0 (Phase 1 Payer Pilot)</t>
  </si>
  <si>
    <r>
      <t>GTM &amp; Operations</t>
    </r>
    <r>
      <rPr>
        <sz val="11"/>
        <color theme="1"/>
        <rFont val="Arial"/>
        <family val="2"/>
      </rPr>
      <t>:</t>
    </r>
  </si>
  <si>
    <t>Clinical Advisory Board sign-off on guideline prompt accuracy.</t>
  </si>
  <si>
    <t>Training modules completed for 50 pilot intake nurses.</t>
  </si>
  <si>
    <r>
      <t>Technical &amp; Observability</t>
    </r>
    <r>
      <rPr>
        <sz val="11"/>
        <color theme="1"/>
        <rFont val="Arial"/>
        <family val="2"/>
      </rPr>
      <t>:</t>
    </r>
  </si>
  <si>
    <t>Multi-region FHIR API endpoint uptime verified at $\ge 99.95\%$.</t>
  </si>
  <si>
    <t>Groundedness evaluator active (auto-flagging responses with citation distance $&gt; 0.2$).</t>
  </si>
  <si>
    <r>
      <t>Rollback Triggers</t>
    </r>
    <r>
      <rPr>
        <sz val="11"/>
        <color theme="1"/>
        <rFont val="Arial"/>
        <family val="2"/>
      </rPr>
      <t>:</t>
    </r>
  </si>
  <si>
    <t>Auto-approval disagreement rate with Human Medical Directors exceeds $2.0\%$.</t>
  </si>
  <si>
    <t>End-to-end extraction pipeline p95 latency exceeds $60\text{ seconds}$.</t>
  </si>
  <si>
    <r>
      <t>Compliance</t>
    </r>
    <r>
      <rPr>
        <sz val="11"/>
        <color theme="1"/>
        <rFont val="Arial"/>
        <family val="2"/>
      </rPr>
      <t>:</t>
    </r>
  </si>
  <si>
    <t>HIPAA, SOC-2 Type II audit, and state-level algorithmic transparency disclosures filed.</t>
  </si>
  <si>
    <r>
      <t>5. Stakeholder Brief (</t>
    </r>
    <r>
      <rPr>
        <b/>
        <sz val="10"/>
        <color theme="1"/>
        <rFont val="Google Sans Text"/>
        <family val="2"/>
      </rPr>
      <t>/stakeholder-brief</t>
    </r>
    <r>
      <rPr>
        <b/>
        <sz val="12"/>
        <color theme="1"/>
        <rFont val="Arial"/>
        <family val="2"/>
      </rPr>
      <t>)</t>
    </r>
  </si>
  <si>
    <t>Memorandum to Chief Medical Officer (CMO) &amp; VP of Health Plan Operations</t>
  </si>
  <si>
    <r>
      <t>BLUF</t>
    </r>
    <r>
      <rPr>
        <sz val="11"/>
        <color theme="1"/>
        <rFont val="Arial"/>
        <family val="2"/>
      </rPr>
      <t>: Transitioning 40 high-volume outpatient radiology procedures to automated AI prior authorization will reduce administrative processing costs by 68% ($3.2\text{M}$ annual savings) and lower turnaround time from 72 hours to under 2 minutes, while maintaining a strict 100% human review requirement for all non-approvals.</t>
    </r>
  </si>
  <si>
    <r>
      <t>Options Considered</t>
    </r>
    <r>
      <rPr>
        <sz val="11"/>
        <color theme="1"/>
        <rFont val="Arial"/>
        <family val="2"/>
      </rPr>
      <t>:</t>
    </r>
  </si>
  <si>
    <r>
      <t>1. Status Quo</t>
    </r>
    <r>
      <rPr>
        <sz val="11"/>
        <color theme="1"/>
        <rFont val="Arial"/>
        <family val="2"/>
      </rPr>
      <t>: Outsource to offshore manual review BPOs ($18/\text{case}$, high error rate).</t>
    </r>
  </si>
  <si>
    <r>
      <t>2. Full Automation</t>
    </r>
    <r>
      <rPr>
        <sz val="11"/>
        <color theme="1"/>
        <rFont val="Arial"/>
        <family val="2"/>
      </rPr>
      <t>: High regulatory risk; violates CMS-0057-F mandate for clinical review on denials.</t>
    </r>
  </si>
  <si>
    <r>
      <t>3. Recommended Hybrid</t>
    </r>
    <r>
      <rPr>
        <sz val="11"/>
        <color theme="1"/>
        <rFont val="Arial"/>
        <family val="2"/>
      </rPr>
      <t>: AI touchless approval for deterministic passes; AI-drafted human-in-the-loop review for exceptions.</t>
    </r>
  </si>
  <si>
    <r>
      <t>Explicit Ask</t>
    </r>
    <r>
      <rPr>
        <sz val="11"/>
        <color theme="1"/>
        <rFont val="Arial"/>
        <family val="2"/>
      </rPr>
      <t>: Approval to allocate 2 lead medical directors for a 4-week validation pilot starting Q2.</t>
    </r>
  </si>
  <si>
    <r>
      <t>6. Metric Dashboard (</t>
    </r>
    <r>
      <rPr>
        <b/>
        <sz val="10"/>
        <color theme="1"/>
        <rFont val="Google Sans Text"/>
        <family val="2"/>
      </rPr>
      <t>/metric-dashboard</t>
    </r>
    <r>
      <rPr>
        <b/>
        <sz val="12"/>
        <color theme="1"/>
        <rFont val="Arial"/>
        <family val="2"/>
      </rPr>
      <t>)</t>
    </r>
  </si>
  <si>
    <t>IntelliAuth Production Telemetry Hierarchy</t>
  </si>
  <si>
    <t xml:space="preserve">                     [ North Star Metric ]</t>
  </si>
  <si>
    <t xml:space="preserve">                 Median Turnaround Time (TAT)</t>
  </si>
  <si>
    <t xml:space="preserve">                    Target: &lt; 2 Hours</t>
  </si>
  <si>
    <t xml:space="preserve">                           │</t>
  </si>
  <si>
    <t xml:space="preserve">      ┌────────────────────┴────────────────────┐</t>
  </si>
  <si>
    <t xml:space="preserve">      ▼                                         ▼</t>
  </si>
  <si>
    <t>[ Speed &amp; Automation Drivers ]            [ Guardrails &amp; Clinical Safety ]</t>
  </si>
  <si>
    <t>- Touchless Auto-Approval Rate (40%)      - Overturn / Appeal Rate (&lt;1.0%)</t>
  </si>
  <si>
    <t>- Document Extraction F1 Score (&gt;0.95)    - Payer-Provider Friction Index</t>
  </si>
  <si>
    <t>- p95 End-to-End Latency (&lt;30s)           - Audit Discrepancy Rate (&lt;0.1%)</t>
  </si>
  <si>
    <r>
      <t>Alert Thresholds</t>
    </r>
    <r>
      <rPr>
        <sz val="11"/>
        <color theme="1"/>
        <rFont val="Arial"/>
        <family val="2"/>
      </rPr>
      <t>:</t>
    </r>
  </si>
  <si>
    <r>
      <t>RED ALERT</t>
    </r>
    <r>
      <rPr>
        <sz val="11"/>
        <color theme="1"/>
        <rFont val="Arial"/>
        <family val="2"/>
      </rPr>
      <t>: Model Auto-Approval Rate deviates $&gt; \pm 15\%$ week-over-week (indicates policy update or prompt drift).</t>
    </r>
  </si>
  <si>
    <r>
      <t>7. PM Writing (</t>
    </r>
    <r>
      <rPr>
        <b/>
        <sz val="10"/>
        <color theme="1"/>
        <rFont val="Google Sans Text"/>
        <family val="2"/>
      </rPr>
      <t>/pm-writing</t>
    </r>
    <r>
      <rPr>
        <b/>
        <sz val="12"/>
        <color theme="1"/>
        <rFont val="Arial"/>
        <family val="2"/>
      </rPr>
      <t>)</t>
    </r>
  </si>
  <si>
    <r>
      <t>Original Draft</t>
    </r>
    <r>
      <rPr>
        <sz val="11"/>
        <color theme="1"/>
        <rFont val="Arial"/>
        <family val="2"/>
      </rPr>
      <t>: "We noticed that our tool wasn't really working fast when people uploaded really long hospital files with hundreds of pages and the nurses were complaining about having to wait."</t>
    </r>
  </si>
  <si>
    <r>
      <t>Refactored (Executive PM Format)</t>
    </r>
    <r>
      <rPr>
        <sz val="11"/>
        <color theme="1"/>
        <rFont val="Arial"/>
        <family val="2"/>
      </rPr>
      <t>:</t>
    </r>
  </si>
  <si>
    <t>Incident Summary: Ingestion Latency on High-Volume Charts</t>
  </si>
  <si>
    <r>
      <t>Impact</t>
    </r>
    <r>
      <rPr>
        <sz val="11"/>
        <color theme="1"/>
        <rFont val="Arial"/>
        <family val="2"/>
      </rPr>
      <t>: Unstructured PDF charts over 150 pages caused extraction latency to spike from $12\text{s}$ to $118\text{s}$, affecting 14% of oncology authorization requests.</t>
    </r>
  </si>
  <si>
    <r>
      <t>Root Cause</t>
    </r>
    <r>
      <rPr>
        <sz val="11"/>
        <color theme="1"/>
        <rFont val="Arial"/>
        <family val="2"/>
      </rPr>
      <t>: Unbatched context injection overloaded token limits and triggered LLM gateway rate-limits.</t>
    </r>
  </si>
  <si>
    <r>
      <t>Remediation</t>
    </r>
    <r>
      <rPr>
        <sz val="11"/>
        <color theme="1"/>
        <rFont val="Arial"/>
        <family val="2"/>
      </rPr>
      <t>: Implemented heuristic chunking and vector-filtered extraction on March 2. P95 latency is now restored to $18\text{ seconds}$.</t>
    </r>
  </si>
  <si>
    <t>Category 2: Product Thinking Skills</t>
  </si>
  <si>
    <r>
      <t>8. Product Sense (</t>
    </r>
    <r>
      <rPr>
        <b/>
        <sz val="10"/>
        <color theme="1"/>
        <rFont val="Google Sans Text"/>
        <family val="2"/>
      </rPr>
      <t>/product-sense</t>
    </r>
    <r>
      <rPr>
        <b/>
        <sz val="12"/>
        <color theme="1"/>
        <rFont val="Arial"/>
        <family val="2"/>
      </rPr>
      <t>)</t>
    </r>
  </si>
  <si>
    <r>
      <t>Prompt: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Design an AI Prior Authorization solution for high-complexity Specialty Oncology.</t>
    </r>
  </si>
  <si>
    <r>
      <t>Target Persona</t>
    </r>
    <r>
      <rPr>
        <sz val="11"/>
        <color theme="1"/>
        <rFont val="Arial"/>
        <family val="2"/>
      </rPr>
      <t>: The Oncology Nurse Navigator navigating urgent cancer therapy approvals (e.g., CAR-T, checkpoint inhibitors).</t>
    </r>
  </si>
  <si>
    <r>
      <t>Core Friction</t>
    </r>
    <r>
      <rPr>
        <sz val="11"/>
        <color theme="1"/>
        <rFont val="Arial"/>
        <family val="2"/>
      </rPr>
      <t>: Standard prior auth delays (10–14 days) lead to tumor progression and patient anxiety. 70% of initial denials stem from missing genetic biomarkers in the clinical documentation.</t>
    </r>
  </si>
  <si>
    <r>
      <t>10x Solution Spectrum</t>
    </r>
    <r>
      <rPr>
        <sz val="11"/>
        <color theme="1"/>
        <rFont val="Arial"/>
        <family val="2"/>
      </rPr>
      <t>:</t>
    </r>
  </si>
  <si>
    <r>
      <t>1. Conservative</t>
    </r>
    <r>
      <rPr>
        <sz val="11"/>
        <color theme="1"/>
        <rFont val="Arial"/>
        <family val="2"/>
      </rPr>
      <t>: PDF parser with pre-flight checklist for missing lab values.</t>
    </r>
  </si>
  <si>
    <r>
      <t>2. 10x Native</t>
    </r>
    <r>
      <rPr>
        <sz val="11"/>
        <color theme="1"/>
        <rFont val="Arial"/>
        <family val="2"/>
      </rPr>
      <t xml:space="preserve">: </t>
    </r>
    <r>
      <rPr>
        <b/>
        <sz val="11"/>
        <color theme="1"/>
        <rFont val="Arial"/>
        <family val="2"/>
      </rPr>
      <t>OncoPass Engine</t>
    </r>
    <r>
      <rPr>
        <sz val="11"/>
        <color theme="1"/>
        <rFont val="Arial"/>
        <family val="2"/>
      </rPr>
      <t xml:space="preserve"> — An ambient EHR plugin that watches the oncologist's notes in real-time, extracts NGS (Next-Gen Sequencing) biomarker data, auto-assembles the medical necessity dossier, and achieves instant payer approval during the patient visit.</t>
    </r>
  </si>
  <si>
    <r>
      <t>3. Moonshot</t>
    </r>
    <r>
      <rPr>
        <sz val="11"/>
        <color theme="1"/>
        <rFont val="Arial"/>
        <family val="2"/>
      </rPr>
      <t>: Universal Payer-Provider Consensus Protocol using cryptographically verified clinical rules running locally inside the hospital network.</t>
    </r>
  </si>
  <si>
    <r>
      <t>9. Product Strategy (</t>
    </r>
    <r>
      <rPr>
        <b/>
        <sz val="10"/>
        <color theme="1"/>
        <rFont val="Google Sans Text"/>
        <family val="2"/>
      </rPr>
      <t>/product-strategy</t>
    </r>
    <r>
      <rPr>
        <b/>
        <sz val="12"/>
        <color theme="1"/>
        <rFont val="Arial"/>
        <family val="2"/>
      </rPr>
      <t>)</t>
    </r>
  </si>
  <si>
    <t>IntelliAuth 3-Year Strategic Moat Analysis</t>
  </si>
  <si>
    <r>
      <t>Value Proposition</t>
    </r>
    <r>
      <rPr>
        <sz val="11"/>
        <color theme="1"/>
        <rFont val="Arial"/>
        <family val="2"/>
      </rPr>
      <t>: Shift prior auth from a post-submission dispute to a point-of-care deterministic clearing process.</t>
    </r>
  </si>
  <si>
    <r>
      <t>Defensibility &amp; Moats</t>
    </r>
    <r>
      <rPr>
        <sz val="11"/>
        <color theme="1"/>
        <rFont val="Arial"/>
        <family val="2"/>
      </rPr>
      <t>:</t>
    </r>
  </si>
  <si>
    <r>
      <t>Data Moat</t>
    </r>
    <r>
      <rPr>
        <sz val="11"/>
        <color theme="1"/>
        <rFont val="Arial"/>
        <family val="2"/>
      </rPr>
      <t>: Proprietary mapping graph between 50,000+ local commercial payer policy variations and real-world EHR unstructured phrasing.</t>
    </r>
  </si>
  <si>
    <r>
      <t>Switching Costs</t>
    </r>
    <r>
      <rPr>
        <sz val="11"/>
        <color theme="1"/>
        <rFont val="Arial"/>
        <family val="2"/>
      </rPr>
      <t>: Integration into Epic/Cerner workflows via Da Vinci FHIR APIs.</t>
    </r>
  </si>
  <si>
    <r>
      <t>Build vs. Buy Assessment</t>
    </r>
    <r>
      <rPr>
        <sz val="11"/>
        <color theme="1"/>
        <rFont val="Arial"/>
        <family val="2"/>
      </rPr>
      <t>:</t>
    </r>
  </si>
  <si>
    <r>
      <t>Build</t>
    </r>
    <r>
      <rPr>
        <sz val="11"/>
        <color theme="1"/>
        <rFont val="Arial"/>
        <family val="2"/>
      </rPr>
      <t>: Core Clinical Guideline Extraction &amp; LLM Rule Verifier.</t>
    </r>
  </si>
  <si>
    <r>
      <t>Buy / Partner</t>
    </r>
    <r>
      <rPr>
        <sz val="11"/>
        <color theme="1"/>
        <rFont val="Arial"/>
        <family val="2"/>
      </rPr>
      <t>: OCR Base Layer (e.g., Azure Document Intelligence) and FHIR connectivity pipelines.</t>
    </r>
  </si>
  <si>
    <r>
      <t>10. Analytical PM (</t>
    </r>
    <r>
      <rPr>
        <b/>
        <sz val="10"/>
        <color theme="1"/>
        <rFont val="Google Sans Text"/>
        <family val="2"/>
      </rPr>
      <t>/analytical-pm</t>
    </r>
    <r>
      <rPr>
        <b/>
        <sz val="12"/>
        <color theme="1"/>
        <rFont val="Arial"/>
        <family val="2"/>
      </rPr>
      <t>)</t>
    </r>
  </si>
  <si>
    <r>
      <t>Problem: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Auto-approval rate for Cardiology requests dropped from 44% to 22% over 14 days.</t>
    </r>
  </si>
  <si>
    <r>
      <t>MECE Diagnostic Tree</t>
    </r>
    <r>
      <rPr>
        <sz val="11"/>
        <color theme="1"/>
        <rFont val="Arial"/>
        <family val="2"/>
      </rPr>
      <t>:</t>
    </r>
  </si>
  <si>
    <r>
      <t>1. External Data Shift</t>
    </r>
    <r>
      <rPr>
        <sz val="11"/>
        <color theme="1"/>
        <rFont val="Arial"/>
        <family val="2"/>
      </rPr>
      <t>: Did provider submission format change? (e.g., new PDF template, scanned handwritten notes).</t>
    </r>
  </si>
  <si>
    <r>
      <t>2. Model / Pipeline Degradation</t>
    </r>
    <r>
      <rPr>
        <sz val="11"/>
        <color theme="1"/>
        <rFont val="Arial"/>
        <family val="2"/>
      </rPr>
      <t>: Did the extraction F1 score drop on CPT/ICD-10 codes?</t>
    </r>
  </si>
  <si>
    <r>
      <t>3. Policy / Rule Boundary Update</t>
    </r>
    <r>
      <rPr>
        <sz val="11"/>
        <color theme="1"/>
        <rFont val="Arial"/>
        <family val="2"/>
      </rPr>
      <t>: Did a payer update medical necessity guidelines for cardiac catheterization?</t>
    </r>
  </si>
  <si>
    <r>
      <t>4. Upstream Traffic Mix</t>
    </r>
    <r>
      <rPr>
        <sz val="11"/>
        <color theme="1"/>
        <rFont val="Arial"/>
        <family val="2"/>
      </rPr>
      <t>: Did the proportion of high-complexity inpatient requests increase relative to simple outpatient visits?</t>
    </r>
  </si>
  <si>
    <r>
      <t>Action Plan</t>
    </r>
    <r>
      <rPr>
        <sz val="11"/>
        <color theme="1"/>
        <rFont val="Arial"/>
        <family val="2"/>
      </rPr>
      <t>: Run a cohort split by payer and procedure code. If drop is concentrated under Payer X across CPT-93458, verify if Payer X introduced a pre-requisite conservative therapy rule (e.g., 6 weeks of statin trial required before cath approval).</t>
    </r>
  </si>
  <si>
    <r>
      <t>11. Technical PM (</t>
    </r>
    <r>
      <rPr>
        <b/>
        <sz val="10"/>
        <color theme="1"/>
        <rFont val="Google Sans Text"/>
        <family val="2"/>
      </rPr>
      <t>/technical-pm</t>
    </r>
    <r>
      <rPr>
        <b/>
        <sz val="12"/>
        <color theme="1"/>
        <rFont val="Arial"/>
        <family val="2"/>
      </rPr>
      <t>)</t>
    </r>
  </si>
  <si>
    <t>Architecture Specification: Clinical Extraction &amp; Rule Engine</t>
  </si>
  <si>
    <t>[EHR / Clinic] ──(FHIR PAS / PDF)──&gt; [Ingestion &amp; Document OCR]</t>
  </si>
  <si>
    <t xml:space="preserve">                                             │</t>
  </si>
  <si>
    <t xml:space="preserve">                                             ▼</t>
  </si>
  <si>
    <t>[Vector Policy DB] ◄──(Hybrid Search)── [Entity Extractor]</t>
  </si>
  <si>
    <t>(MCG / InterQual / Payer Rules)              │</t>
  </si>
  <si>
    <t xml:space="preserve">                                     [LLM Adjudicator]</t>
  </si>
  <si>
    <t xml:space="preserve">                               (Structured JSON Output)</t>
  </si>
  <si>
    <t xml:space="preserve">                      ┌──────────────────────┴──────────────────────┐</t>
  </si>
  <si>
    <t xml:space="preserve">                      ▼                                             ▼</t>
  </si>
  <si>
    <t xml:space="preserve">        [Confidence ≥ 0.92 &amp; Pass]                     [Confidence &lt; 0.92 OR Fail]</t>
  </si>
  <si>
    <t xml:space="preserve">                      │                                             │</t>
  </si>
  <si>
    <t xml:space="preserve">        [Direct Touchless Approval]                 [Human Reviewer HITL Queue]</t>
  </si>
  <si>
    <r>
      <t>Data Contract (Adjudication Payload)</t>
    </r>
    <r>
      <rPr>
        <sz val="11"/>
        <color theme="1"/>
        <rFont val="Arial"/>
        <family val="2"/>
      </rPr>
      <t>:</t>
    </r>
  </si>
  <si>
    <t>JSON</t>
  </si>
  <si>
    <t xml:space="preserve">  "auth_id": "auth_981273_onc",</t>
  </si>
  <si>
    <t xml:space="preserve">  "patient_id": "pat_4401",</t>
  </si>
  <si>
    <t xml:space="preserve">  "cpt_code": "96413",</t>
  </si>
  <si>
    <t xml:space="preserve">  "adjudication_status": "AUTO_APPROVED",</t>
  </si>
  <si>
    <t xml:space="preserve">  "confidence_score": 0.964,</t>
  </si>
  <si>
    <t xml:space="preserve">  "criteria_evaluations": [</t>
  </si>
  <si>
    <t xml:space="preserve">    {</t>
  </si>
  <si>
    <t xml:space="preserve">      "guideline_id": "MCG-AC-041",</t>
  </si>
  <si>
    <t xml:space="preserve">      "requirement": "Documented failure of first-line therapy",</t>
  </si>
  <si>
    <t xml:space="preserve">      "satisfied": true,</t>
  </si>
  <si>
    <t xml:space="preserve">      "citation": { "document_id": "doc_882", "page": 4, "text": "Patient progressed on FOLFOX regimen as of Jan 14." }</t>
  </si>
  <si>
    <t xml:space="preserve">  ]</t>
  </si>
  <si>
    <r>
      <t>12. Behavioral PM (</t>
    </r>
    <r>
      <rPr>
        <b/>
        <sz val="10"/>
        <color theme="1"/>
        <rFont val="Google Sans Text"/>
        <family val="2"/>
      </rPr>
      <t>/behavioral-pm</t>
    </r>
    <r>
      <rPr>
        <b/>
        <sz val="12"/>
        <color theme="1"/>
        <rFont val="Arial"/>
        <family val="2"/>
      </rPr>
      <t>)</t>
    </r>
  </si>
  <si>
    <r>
      <t>Scenario:</t>
    </r>
    <r>
      <rPr>
        <sz val="11"/>
        <color theme="1"/>
        <rFont val="Arial"/>
        <family val="2"/>
      </rPr>
      <t xml:space="preserve"> </t>
    </r>
    <r>
      <rPr>
        <i/>
        <sz val="11"/>
        <color theme="1"/>
        <rFont val="Arial"/>
        <family val="2"/>
      </rPr>
      <t>Navigating a conflict between Data Science (pushing higher auto-approval) and the Chief Medical Officer (prioritizing clinical risk aversion).</t>
    </r>
  </si>
  <si>
    <r>
      <t>Situation</t>
    </r>
    <r>
      <rPr>
        <sz val="11"/>
        <color theme="1"/>
        <rFont val="Arial"/>
        <family val="2"/>
      </rPr>
      <t>: Data Science wanted to lower the model confidence threshold from 0.95 to 0.85 to boost our marketing claim of "50% Touchless Automation." The Chief Medical Officer threatened to halt the launch due to liability concerns over potential improper approvals.</t>
    </r>
  </si>
  <si>
    <r>
      <t>Task</t>
    </r>
    <r>
      <rPr>
        <sz val="11"/>
        <color theme="1"/>
        <rFont val="Arial"/>
        <family val="2"/>
      </rPr>
      <t>: Re-align both teams on an objective risk framework without delaying the product launch.</t>
    </r>
  </si>
  <si>
    <r>
      <t>Action</t>
    </r>
    <r>
      <rPr>
        <sz val="11"/>
        <color theme="1"/>
        <rFont val="Arial"/>
        <family val="2"/>
      </rPr>
      <t>: I framed the decision around empirical error rates rather than subjective confidence thresholds. I ran a blind benchmark of 2,000 historical cases adjudicated by both human Medical Directors and the AI at varying thresholds. The data showed that between 0.90 and 0.95, the AI's error rate ($0.4\%$) was lower than human inter-rater variability ($2.1\%$).</t>
    </r>
  </si>
  <si>
    <r>
      <t>Result</t>
    </r>
    <r>
      <rPr>
        <sz val="11"/>
        <color theme="1"/>
        <rFont val="Arial"/>
        <family val="2"/>
      </rPr>
      <t>: The CMO agreed to set the threshold at $0.91$ with a 10% spot-audit protocol. We achieved a 42% auto-approval rate at launch with zero compliance violations.</t>
    </r>
  </si>
  <si>
    <r>
      <t>Reflection</t>
    </r>
    <r>
      <rPr>
        <sz val="11"/>
        <color theme="1"/>
        <rFont val="Arial"/>
        <family val="2"/>
      </rPr>
      <t>: When technical metrics conflict with domain governance, translate abstract numbers into real-world baseline parity tests.</t>
    </r>
  </si>
  <si>
    <t>Category 3: AI Domain Depth Skills</t>
  </si>
  <si>
    <r>
      <t>13. AI Product Teardown (</t>
    </r>
    <r>
      <rPr>
        <b/>
        <sz val="10"/>
        <color theme="1"/>
        <rFont val="Google Sans Text"/>
        <family val="2"/>
      </rPr>
      <t>/ai-product-teardown</t>
    </r>
    <r>
      <rPr>
        <b/>
        <sz val="12"/>
        <color theme="1"/>
        <rFont val="Arial"/>
        <family val="2"/>
      </rPr>
      <t>)</t>
    </r>
  </si>
  <si>
    <t>Teardown: Cohere Health / Epic Payer Platform Prior Auth Engine</t>
  </si>
  <si>
    <r>
      <t>Core Value Prop</t>
    </r>
    <r>
      <rPr>
        <sz val="11"/>
        <color theme="1"/>
        <rFont val="Arial"/>
        <family val="2"/>
      </rPr>
      <t>: Eliminating administrative lag by embedding payer rules into the doctor's electronic ordering workflow.</t>
    </r>
  </si>
  <si>
    <r>
      <t>UX &amp; Interaction Flow</t>
    </r>
    <r>
      <rPr>
        <sz val="11"/>
        <color theme="1"/>
        <rFont val="Arial"/>
        <family val="2"/>
      </rPr>
      <t>: Real-time inline alerts during CPT code selection. The system prompts for 2 specific questions instead of requiring a 10-page retrospective form.</t>
    </r>
  </si>
  <si>
    <r>
      <t>Model &amp; Latency Strategy</t>
    </r>
    <r>
      <rPr>
        <sz val="11"/>
        <color theme="1"/>
        <rFont val="Arial"/>
        <family val="2"/>
      </rPr>
      <t>: Employs fine-tuned small language models (SLMs) for named entity recognition (ICD/CPT/Lab extraction) for low latency, combined with a large reasoning model for complex medical policy synthesis.</t>
    </r>
  </si>
  <si>
    <r>
      <t>Vulnerabilities</t>
    </r>
    <r>
      <rPr>
        <sz val="11"/>
        <color theme="1"/>
        <rFont val="Arial"/>
        <family val="2"/>
      </rPr>
      <t>: Changes to proprietary EHR systems can break data scrapers; high reliance on unstructured notes makes it vulnerable to doctor transcription typos.</t>
    </r>
  </si>
  <si>
    <r>
      <t>14. AI Market Landscape (</t>
    </r>
    <r>
      <rPr>
        <b/>
        <sz val="10"/>
        <color theme="1"/>
        <rFont val="Google Sans Text"/>
        <family val="2"/>
      </rPr>
      <t>/ai-market-landscape</t>
    </r>
    <r>
      <rPr>
        <b/>
        <sz val="12"/>
        <color theme="1"/>
        <rFont val="Arial"/>
        <family val="2"/>
      </rPr>
      <t>)</t>
    </r>
  </si>
  <si>
    <t>Prior Authorization AI Competitive Matrix</t>
  </si>
  <si>
    <t>Player Archetype</t>
  </si>
  <si>
    <t>Representative Players</t>
  </si>
  <si>
    <t>Primary Advantage</t>
  </si>
  <si>
    <t>Vulnerability</t>
  </si>
  <si>
    <t>EHR Giants</t>
  </si>
  <si>
    <t>Epic (Payer Platform), Oracle Health</t>
  </si>
  <si>
    <t>Native point-of-care distribution</t>
  </si>
  <si>
    <t>Slow innovation cycle; multi-payer friction</t>
  </si>
  <si>
    <t>Payer-Facing AI</t>
  </si>
  <si>
    <t>Cohere Health, Cohere/Basys.ai</t>
  </si>
  <si>
    <t>Deep utilization management integration</t>
  </si>
  <si>
    <t>Low direct physician NPS</t>
  </si>
  <si>
    <t>Provider-Facing Clearinghouses</t>
  </si>
  <si>
    <t>Waystar, Availity, Doximity</t>
  </si>
  <si>
    <t>Massive legacy claims distribution</t>
  </si>
  <si>
    <t>Legacy infrastructure debt; batch-oriented</t>
  </si>
  <si>
    <t>Vertical AI Startups</t>
  </si>
  <si>
    <t>Notable, Tennr, Rhyme/Valer</t>
  </si>
  <si>
    <t>Rapid multimodal OCR and LLM adaptation</t>
  </si>
  <si>
    <t>High customer acquisition cost (CAC)</t>
  </si>
  <si>
    <r>
      <t>15. PM Case Study (</t>
    </r>
    <r>
      <rPr>
        <b/>
        <sz val="10"/>
        <color theme="1"/>
        <rFont val="Google Sans Text"/>
        <family val="2"/>
      </rPr>
      <t>/pm-case-study</t>
    </r>
    <r>
      <rPr>
        <b/>
        <sz val="12"/>
        <color theme="1"/>
        <rFont val="Arial"/>
        <family val="2"/>
      </rPr>
      <t>)</t>
    </r>
  </si>
  <si>
    <t>Case: The Impact of CMS-0057-F Interoperability and Prior Authorization Rule</t>
  </si>
  <si>
    <r>
      <t>Context</t>
    </r>
    <r>
      <rPr>
        <sz val="11"/>
        <color theme="1"/>
        <rFont val="Arial"/>
        <family val="2"/>
      </rPr>
      <t>: In 2024, the US Centers for Medicare &amp; Medicaid Services (CMS) finalized rule CMS-0057-F, mandating impacted payers to implement FHIR-standard APIs for prior authorization and enforce turnaround decisions within 72 hours for urgent requests and 7 calendar days for standard requests.</t>
    </r>
  </si>
  <si>
    <r>
      <t>Strategic Dilemma for PMs</t>
    </r>
    <r>
      <rPr>
        <sz val="11"/>
        <color theme="1"/>
        <rFont val="Arial"/>
        <family val="2"/>
      </rPr>
      <t>: Legacy payer infrastructure relied on 14-day turnaround windows. Payers had to choose between hiring massive manual clinical teams or deploying automated AI decisioning engines.</t>
    </r>
  </si>
  <si>
    <r>
      <t>PM Takeaway</t>
    </r>
    <r>
      <rPr>
        <sz val="11"/>
        <color theme="1"/>
        <rFont val="Arial"/>
        <family val="2"/>
      </rPr>
      <t>: Regulatory deadlines create immediate product-market fit for standardized API-first products. Products that adhered early to HL7 Da Vinci FHIR standards captured majority market share over proprietary closed systems.</t>
    </r>
  </si>
  <si>
    <r>
      <t>16. AI Ethics &amp; Trade-offs (</t>
    </r>
    <r>
      <rPr>
        <b/>
        <sz val="10"/>
        <color theme="1"/>
        <rFont val="Google Sans Text"/>
        <family val="2"/>
      </rPr>
      <t>/ai-ethics-tradeoffs</t>
    </r>
    <r>
      <rPr>
        <b/>
        <sz val="12"/>
        <color theme="1"/>
        <rFont val="Arial"/>
        <family val="2"/>
      </rPr>
      <t>)</t>
    </r>
  </si>
  <si>
    <t>Prior Auth Governance Policy: Algorithmic Accountability</t>
  </si>
  <si>
    <t xml:space="preserve">                    [ Authorization Evaluation ]</t>
  </si>
  <si>
    <t xml:space="preserve">                                 │</t>
  </si>
  <si>
    <t xml:space="preserve">                 Is the Request Fully Compliant?</t>
  </si>
  <si>
    <t xml:space="preserve">                 ┌───────────────┴───────────────┐</t>
  </si>
  <si>
    <t xml:space="preserve">                YES                              NO</t>
  </si>
  <si>
    <t xml:space="preserve">                 │                               │</t>
  </si>
  <si>
    <t xml:space="preserve">                 ▼                               ▼</t>
  </si>
  <si>
    <t xml:space="preserve">       [ Touchless Approval ]           [ Mandatory Human Escalate ]</t>
  </si>
  <si>
    <t xml:space="preserve">   (Audit trail &amp; citations logged)     (AI creates draft rationale;</t>
  </si>
  <si>
    <t xml:space="preserve">                                        Medical Director decides)</t>
  </si>
  <si>
    <r>
      <t>Core Mandate: Asymmetric Autonomy</t>
    </r>
    <r>
      <rPr>
        <sz val="11"/>
        <color theme="1"/>
        <rFont val="Arial"/>
        <family val="2"/>
      </rPr>
      <t>:</t>
    </r>
  </si>
  <si>
    <r>
      <t xml:space="preserve">The model is authorized to </t>
    </r>
    <r>
      <rPr>
        <b/>
        <sz val="11"/>
        <color theme="1"/>
        <rFont val="Arial"/>
        <family val="2"/>
      </rPr>
      <t>Approve</t>
    </r>
    <r>
      <rPr>
        <sz val="11"/>
        <color theme="1"/>
        <rFont val="Arial"/>
        <family val="2"/>
      </rPr>
      <t xml:space="preserve"> (reducing patient care friction).</t>
    </r>
  </si>
  <si>
    <r>
      <t xml:space="preserve">The model is </t>
    </r>
    <r>
      <rPr>
        <b/>
        <sz val="11"/>
        <color theme="1"/>
        <rFont val="Arial"/>
        <family val="2"/>
      </rPr>
      <t>Strictly Forbidden from Issuing Denials</t>
    </r>
    <r>
      <rPr>
        <sz val="11"/>
        <color theme="1"/>
        <rFont val="Arial"/>
        <family val="2"/>
      </rPr>
      <t xml:space="preserve"> autonomously. Every adverse determination requires documented human review by a licensed physician to prevent systematic algorithmic bias and care denial.</t>
    </r>
  </si>
  <si>
    <r>
      <t>Explainability Standard</t>
    </r>
    <r>
      <rPr>
        <sz val="11"/>
        <color theme="1"/>
        <rFont val="Arial"/>
        <family val="2"/>
      </rPr>
      <t>: Every automated approval must record the exact sentence-level medical record citations in the compliance audit log.</t>
    </r>
  </si>
  <si>
    <r>
      <t>17. Mock Interviewer (</t>
    </r>
    <r>
      <rPr>
        <b/>
        <sz val="10"/>
        <color theme="1"/>
        <rFont val="Google Sans Text"/>
        <family val="2"/>
      </rPr>
      <t>/mock-interviewer</t>
    </r>
    <r>
      <rPr>
        <b/>
        <sz val="12"/>
        <color theme="1"/>
        <rFont val="Arial"/>
        <family val="2"/>
      </rPr>
      <t>)</t>
    </r>
  </si>
  <si>
    <t>Interview Scenario: Product Sense &amp; Execution (HealthTech Track)</t>
  </si>
  <si>
    <r>
      <t>Interviewer</t>
    </r>
    <r>
      <rPr>
        <sz val="11"/>
        <color theme="1"/>
        <rFont val="Arial"/>
        <family val="2"/>
      </rPr>
      <t xml:space="preserve">: </t>
    </r>
    <r>
      <rPr>
        <i/>
        <sz val="11"/>
        <color theme="1"/>
        <rFont val="Arial"/>
        <family val="2"/>
      </rPr>
      <t>"You are the PM for an AI system at a major health insurer. Your automated prior authorization tool just approved a surgery that was later disputed during claims settlement as medically unnecessary. How do you handle this?"</t>
    </r>
  </si>
  <si>
    <r>
      <t>Exemplary Response Structure</t>
    </r>
    <r>
      <rPr>
        <sz val="11"/>
        <color theme="1"/>
        <rFont val="Arial"/>
        <family val="2"/>
      </rPr>
      <t>:</t>
    </r>
  </si>
  <si>
    <r>
      <t>1. Triage &amp; Containment</t>
    </r>
    <r>
      <rPr>
        <sz val="11"/>
        <color theme="1"/>
        <rFont val="Arial"/>
        <family val="2"/>
      </rPr>
      <t>: Instantly flag the specific guideline ruleset and model version responsible. Check if this is an isolated prompt ambiguity or a systematic policy misalignment affecting hundreds of claims.</t>
    </r>
  </si>
  <si>
    <r>
      <t>2. Financial/Care Protection</t>
    </r>
    <r>
      <rPr>
        <sz val="11"/>
        <color theme="1"/>
        <rFont val="Arial"/>
        <family val="2"/>
      </rPr>
      <t>: Protect the patient from surprise billing—the health plan approved it through its authorized agent (the AI), so the liability rests on the plan, not the member.</t>
    </r>
  </si>
  <si>
    <r>
      <t>3. Root Cause Analysis (RCA)</t>
    </r>
    <r>
      <rPr>
        <sz val="11"/>
        <color theme="1"/>
        <rFont val="Arial"/>
        <family val="2"/>
      </rPr>
      <t>: Audit the model's extraction log against the original EHR chart. Did the LLM hallucinate clinical criteria fulfillment, or was the payer medical policy ambiguous?</t>
    </r>
  </si>
  <si>
    <r>
      <t>4. Systemic Hardening</t>
    </r>
    <r>
      <rPr>
        <sz val="11"/>
        <color theme="1"/>
        <rFont val="Arial"/>
        <family val="2"/>
      </rPr>
      <t>: Adjust rule validation thresholds, update prompt assertions with few-shot counterexamples, and add an automated regression test to the model evaluation suite.</t>
    </r>
  </si>
  <si>
    <t>Master Skills Directory</t>
  </si>
  <si>
    <t>Command</t>
  </si>
  <si>
    <t>Primary Output / Deliverable</t>
  </si>
  <si>
    <t>End-to-end technical PRD with user stories &amp; guardrails</t>
  </si>
  <si>
    <t>Quantitative scoring table (RICE/ICE) with phased roadmaps</t>
  </si>
  <si>
    <t>Thematic insights, user personas, &amp; prioritized JTBD</t>
  </si>
  <si>
    <t>Cross-functional GTM, rollback, &amp; monitoring release gate</t>
  </si>
  <si>
    <t>Executive BLUF memos, decision docs, &amp; status reports</t>
  </si>
  <si>
    <t>KPI telemetry tree (North Star, input, &amp; counter-metrics)</t>
  </si>
  <si>
    <t>Executive rewrite optimized for scannability &amp; decision-making</t>
  </si>
  <si>
    <t>Structured user problem diagnosis &amp; 10x solution design</t>
  </si>
  <si>
    <t>Strategic positioning, moat analysis, &amp; build-vs-buy decisions</t>
  </si>
  <si>
    <t>MECE root-cause diagnostic &amp; A/B test evaluation</t>
  </si>
  <si>
    <t>API contracts, latency budgets, &amp; ML/LLM system designs</t>
  </si>
  <si>
    <t>Enhanced STAR narratives with reflection &amp; leadership signals</t>
  </si>
  <si>
    <t>7-part product, UX, and technical architecture audit</t>
  </si>
  <si>
    <t>Real-time competitive mapping &amp; value-chain analysis</t>
  </si>
  <si>
    <t>Post-mortem analysis of pivotal industry AI product moves</t>
  </si>
  <si>
    <t>Capability vs. safety &amp; hallucination risk framework</t>
  </si>
  <si>
    <t>Interactive simulation with rubric-based scoring &amp; feedback</t>
  </si>
  <si>
    <t>These skills automate the operational and document-heavy lifecycle of product management.</t>
  </si>
  <si>
    <r>
      <t>What It Means</t>
    </r>
    <r>
      <rPr>
        <sz val="11"/>
        <color theme="1"/>
        <rFont val="Arial"/>
        <family val="2"/>
      </rPr>
      <t>: Converts loose feature concepts or rough briefs into comprehensive, engineering-ready Product Requirement Documents (PRDs).</t>
    </r>
  </si>
  <si>
    <r>
      <t>Core Framework</t>
    </r>
    <r>
      <rPr>
        <sz val="11"/>
        <color theme="1"/>
        <rFont val="Arial"/>
        <family val="2"/>
      </rPr>
      <t>:</t>
    </r>
  </si>
  <si>
    <t>Problem Definition $\rightarrow$ Goals/Non-Goals $\rightarrow$ User Journey $\rightarrow$ Technical/Model Specs $\rightarrow$ Edge Cases &amp; Fallbacks $\rightarrow$ Success Metrics.</t>
  </si>
  <si>
    <r>
      <t>Detailed Deliverable</t>
    </r>
    <r>
      <rPr>
        <sz val="11"/>
        <color theme="1"/>
        <rFont val="Arial"/>
        <family val="2"/>
      </rPr>
      <t>:</t>
    </r>
  </si>
  <si>
    <r>
      <t>BLUF Summary</t>
    </r>
    <r>
      <rPr>
        <sz val="11"/>
        <color theme="1"/>
        <rFont val="Arial"/>
        <family val="2"/>
      </rPr>
      <t>: 2-sentence executive summary.</t>
    </r>
  </si>
  <si>
    <r>
      <t>User Stories</t>
    </r>
    <r>
      <rPr>
        <sz val="11"/>
        <color theme="1"/>
        <rFont val="Arial"/>
        <family val="2"/>
      </rPr>
      <t xml:space="preserve">: </t>
    </r>
    <r>
      <rPr>
        <sz val="10"/>
        <color theme="1"/>
        <rFont val="Google Sans Text"/>
        <family val="2"/>
      </rPr>
      <t>Given/When/Then</t>
    </r>
    <r>
      <rPr>
        <sz val="11"/>
        <color theme="1"/>
        <rFont val="Arial"/>
        <family val="2"/>
      </rPr>
      <t xml:space="preserve"> acceptance criteria.</t>
    </r>
  </si>
  <si>
    <r>
      <t>System Boundaries</t>
    </r>
    <r>
      <rPr>
        <sz val="11"/>
        <color theme="1"/>
        <rFont val="Arial"/>
        <family val="2"/>
      </rPr>
      <t>: Latency budgets, context window constraints, tool/API dependencies, and fallback behaviors for API/model failures.</t>
    </r>
  </si>
  <si>
    <r>
      <t>Metrics</t>
    </r>
    <r>
      <rPr>
        <sz val="11"/>
        <color theme="1"/>
        <rFont val="Arial"/>
        <family val="2"/>
      </rPr>
      <t>: Primary North Star and guardrail counter-metrics.</t>
    </r>
  </si>
  <si>
    <r>
      <t>What It Means</t>
    </r>
    <r>
      <rPr>
        <sz val="11"/>
        <color theme="1"/>
        <rFont val="Arial"/>
        <family val="2"/>
      </rPr>
      <t>: Eliminates emotional or arbitrary feature selection by applying quantitative scoring frameworks.</t>
    </r>
  </si>
  <si>
    <r>
      <t>RICE</t>
    </r>
    <r>
      <rPr>
        <sz val="11"/>
        <color theme="1"/>
        <rFont val="Arial"/>
        <family val="2"/>
      </rPr>
      <t>: $(\text{Reach} \times \text{Impact} \times \text{Confidence}) / \text{Effort}$</t>
    </r>
  </si>
  <si>
    <r>
      <t>ICE</t>
    </r>
    <r>
      <rPr>
        <sz val="11"/>
        <color theme="1"/>
        <rFont val="Arial"/>
        <family val="2"/>
      </rPr>
      <t>: $(\text{Impact} \times \text{Confidence} \times \text{Ease})$</t>
    </r>
  </si>
  <si>
    <t>Full comparative matrix scoring every candidate initiative.</t>
  </si>
  <si>
    <t>Identification of "Quick Wins" (high impact, low effort) vs. "Strategic Bets" (high impact, high effort).</t>
  </si>
  <si>
    <r>
      <t xml:space="preserve">3-phase execution timeline: </t>
    </r>
    <r>
      <rPr>
        <b/>
        <sz val="11"/>
        <color theme="1"/>
        <rFont val="Arial"/>
        <family val="2"/>
      </rPr>
      <t>Now (P0)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Next (P1)</t>
    </r>
    <r>
      <rPr>
        <sz val="11"/>
        <color theme="1"/>
        <rFont val="Arial"/>
        <family val="2"/>
      </rPr>
      <t xml:space="preserve">, and </t>
    </r>
    <r>
      <rPr>
        <b/>
        <sz val="11"/>
        <color theme="1"/>
        <rFont val="Arial"/>
        <family val="2"/>
      </rPr>
      <t>Later (P2)</t>
    </r>
    <r>
      <rPr>
        <sz val="11"/>
        <color theme="1"/>
        <rFont val="Arial"/>
        <family val="2"/>
      </rPr>
      <t>.</t>
    </r>
  </si>
  <si>
    <r>
      <t>What It Means</t>
    </r>
    <r>
      <rPr>
        <sz val="11"/>
        <color theme="1"/>
        <rFont val="Arial"/>
        <family val="2"/>
      </rPr>
      <t>: Ingests messy, unstructured user interview transcripts, survey dumps, and customer support tickets to extract actionable qualitative patterns.</t>
    </r>
  </si>
  <si>
    <t>Thematic Clustering $\rightarrow$ Jobs-to-be-Done (JTBD) Mapping $\rightarrow$ Persona Validation $\rightarrow$ Pain vs. Frequency Matrix.</t>
  </si>
  <si>
    <t>Clustered themes with direct verbatim user quotes as evidence.</t>
  </si>
  <si>
    <t>Prioritized user friction points mapped against feature gaps.</t>
  </si>
  <si>
    <t>Concrete product recommendations directly linked to research findings.</t>
  </si>
  <si>
    <r>
      <t>What It Means</t>
    </r>
    <r>
      <rPr>
        <sz val="11"/>
        <color theme="1"/>
        <rFont val="Arial"/>
        <family val="2"/>
      </rPr>
      <t>: Acts as the release gatekeeper, ensuring all cross-functional dependencies and failure points are covered prior to production deployment.</t>
    </r>
  </si>
  <si>
    <t>GTM Readiness $\rightarrow$ Technical Observability $\rightarrow$ Risk &amp; Rollback $\rightarrow$ Operational Sign-offs.</t>
  </si>
  <si>
    <t>Phased rollout schedule (e.g., 1% canary $\rightarrow$ 10% beta $\rightarrow$ 100% GA).</t>
  </si>
  <si>
    <t>Deterministic rollback triggers (e.g., error rate $&gt;0.5\%$, latency $&gt;1500\text{ ms}$).</t>
  </si>
  <si>
    <t>Cross-functional sign-off tracker covering Legal, Security, Support, Marketing, and Sales Enablement.</t>
  </si>
  <si>
    <r>
      <t>What It Means</t>
    </r>
    <r>
      <rPr>
        <sz val="11"/>
        <color theme="1"/>
        <rFont val="Arial"/>
        <family val="2"/>
      </rPr>
      <t>: Drafts crisp, executive-level memos, decision papers, or escalation briefs designed for rapid executive sign-off.</t>
    </r>
  </si>
  <si>
    <r>
      <t>BLUF</t>
    </r>
    <r>
      <rPr>
        <sz val="11"/>
        <color theme="1"/>
        <rFont val="Arial"/>
        <family val="2"/>
      </rPr>
      <t xml:space="preserve"> (Bottom Line Up Front) $\rightarrow$ Context $\rightarrow$ Options Considered $\rightarrow$ Trade-offs $\rightarrow$ Recommended Path $\rightarrow$ Explicit "Ask".</t>
    </r>
  </si>
  <si>
    <t>A 1-page document outlining the specific strategic decision required, financial/operational implications, and risk mitigations.</t>
  </si>
  <si>
    <r>
      <t>What It Means</t>
    </r>
    <r>
      <rPr>
        <sz val="11"/>
        <color theme="1"/>
        <rFont val="Arial"/>
        <family val="2"/>
      </rPr>
      <t>: Designs complete metric hierarchies and tracking instrumentation plans before a feature goes live.</t>
    </r>
  </si>
  <si>
    <t>North Star Metric (NSM) $\rightarrow$ Input Drivers (Acquisition, Activation, Retention) $\rightarrow$ Guardrail / Counter-Metrics $\rightarrow$ Ecosystem Health.</t>
  </si>
  <si>
    <t>KPI telemetry specification (event name, triggers, payloads).</t>
  </si>
  <si>
    <t>Dashboard layout mock-up detailing daily/weekly active monitors.</t>
  </si>
  <si>
    <t>Pre-defined alert thresholds for unintended negative user behavior or system degradation.</t>
  </si>
  <si>
    <r>
      <t>What It Means</t>
    </r>
    <r>
      <rPr>
        <sz val="11"/>
        <color theme="1"/>
        <rFont val="Arial"/>
        <family val="2"/>
      </rPr>
      <t>: Editorial engine that refactors rambling product memos, Slack updates, or email drafts into concise, high-impact business prose.</t>
    </r>
  </si>
  <si>
    <t>Eliminates passive voice, strips rhetorical filler, enforces bulleted scannability, and force-ranks all recommendations.</t>
  </si>
  <si>
    <t>Streamlined, highly readable version of the input text featuring bolded takeaways and scannable visual scaffolding.</t>
  </si>
  <si>
    <t>These skills provide structured reasoning frameworks for strategic, analytical, and technical decision-making.</t>
  </si>
  <si>
    <r>
      <t>What It Means</t>
    </r>
    <r>
      <rPr>
        <sz val="11"/>
        <color theme="1"/>
        <rFont val="Arial"/>
        <family val="2"/>
      </rPr>
      <t xml:space="preserve">: Solves open-ended product exploration problems (e.g., </t>
    </r>
    <r>
      <rPr>
        <i/>
        <sz val="11"/>
        <color theme="1"/>
        <rFont val="Arial"/>
        <family val="2"/>
      </rPr>
      <t>"Design an AI assistant for surgeons"</t>
    </r>
    <r>
      <rPr>
        <sz val="11"/>
        <color theme="1"/>
        <rFont val="Arial"/>
        <family val="2"/>
      </rPr>
      <t xml:space="preserve"> or </t>
    </r>
    <r>
      <rPr>
        <i/>
        <sz val="11"/>
        <color theme="1"/>
        <rFont val="Arial"/>
        <family val="2"/>
      </rPr>
      <t>"Improve Uber Eats for large groups"</t>
    </r>
    <r>
      <rPr>
        <sz val="11"/>
        <color theme="1"/>
        <rFont val="Arial"/>
        <family val="2"/>
      </rPr>
      <t>).</t>
    </r>
  </si>
  <si>
    <t>Clarification $\rightarrow$ Company Mission Alignment $\rightarrow$ User Segmentation $\rightarrow$ Pain Point Prioritization $\rightarrow$ 10x Solutions $\rightarrow$ Success Metrics.</t>
  </si>
  <si>
    <t>Systematic decomposition of an ambiguous problem, 3 distinct solution concepts ranging from conservative to moonshot, and a clear trade-off analysis justifying the chosen direction.</t>
  </si>
  <si>
    <r>
      <t>What It Means</t>
    </r>
    <r>
      <rPr>
        <sz val="11"/>
        <color theme="1"/>
        <rFont val="Arial"/>
        <family val="2"/>
      </rPr>
      <t>: Evaluates high-stakes strategic choices such as entering a new market, changing monetization models, or deciding whether to build vs. buy.</t>
    </r>
  </si>
  <si>
    <t>Market Landscape $\rightarrow$ Strategic Options $\rightarrow$ Defensibility / Moat Audit $\rightarrow$ Build vs. Buy Matrix $\rightarrow$ 3-Year Vision.</t>
  </si>
  <si>
    <t>Structured strategy paper detailing competitive moats (network effects, switching costs, proprietary data), unit economics, and critical execution risks.</t>
  </si>
  <si>
    <r>
      <t>What It Means</t>
    </r>
    <r>
      <rPr>
        <sz val="11"/>
        <color theme="1"/>
        <rFont val="Arial"/>
        <family val="2"/>
      </rPr>
      <t>: Diagnoses metric drops, evaluates experiment results, and models complex business trade-offs.</t>
    </r>
  </si>
  <si>
    <r>
      <t>Root-Cause Analysis</t>
    </r>
    <r>
      <rPr>
        <sz val="11"/>
        <color theme="1"/>
        <rFont val="Arial"/>
        <family val="2"/>
      </rPr>
      <t>: Clarify $\rightarrow$ Segment (device, geo, cohort, version) $\rightarrow$ MECE Hypothesize $\rightarrow$ Data Validation $\rightarrow$ Corrective Action.</t>
    </r>
  </si>
  <si>
    <r>
      <t>A/B Testing</t>
    </r>
    <r>
      <rPr>
        <sz val="11"/>
        <color theme="1"/>
        <rFont val="Arial"/>
        <family val="2"/>
      </rPr>
      <t>: Hypothesis $\rightarrow$ Sample Size / Power $\rightarrow$ Primary vs. Guardrail Metrics $\rightarrow$ Go/No-Go Decision Criteria.</t>
    </r>
  </si>
  <si>
    <t>Structured MECE tree dissecting why a metric shifted, supported by diagnostic steps and mitigation strategies.</t>
  </si>
  <si>
    <r>
      <t>What It Means</t>
    </r>
    <r>
      <rPr>
        <sz val="11"/>
        <color theme="1"/>
        <rFont val="Arial"/>
        <family val="2"/>
      </rPr>
      <t>: Bridges product intent with engineering architecture, particularly around APIs, data flows, and machine learning infrastructure.</t>
    </r>
  </si>
  <si>
    <t>System Architecture $\rightarrow$ Data Contracts &amp; Schemas $\rightarrow$ Latency &amp; Token Budgets $\rightarrow$ Reliability &amp; Rate Limiting.</t>
  </si>
  <si>
    <t>End-to-end data flow specifications, REST/gRPC API payload drafts, compute cost estimations, and architectural boundary constraints.</t>
  </si>
  <si>
    <r>
      <t>What It Means</t>
    </r>
    <r>
      <rPr>
        <sz val="11"/>
        <color theme="1"/>
        <rFont val="Arial"/>
        <family val="2"/>
      </rPr>
      <t>: Crafts and refines compelling leadership narratives for PM interviews or executive reviews.</t>
    </r>
  </si>
  <si>
    <r>
      <t>Enhanced STAR+R</t>
    </r>
    <r>
      <rPr>
        <sz val="11"/>
        <color theme="1"/>
        <rFont val="Arial"/>
        <family val="2"/>
      </rPr>
      <t>:</t>
    </r>
  </si>
  <si>
    <r>
      <t>Situation</t>
    </r>
    <r>
      <rPr>
        <sz val="11"/>
        <color theme="1"/>
        <rFont val="Arial"/>
        <family val="2"/>
      </rPr>
      <t xml:space="preserve"> (10%): Concise context and stakes.</t>
    </r>
  </si>
  <si>
    <r>
      <t>Task</t>
    </r>
    <r>
      <rPr>
        <sz val="11"/>
        <color theme="1"/>
        <rFont val="Arial"/>
        <family val="2"/>
      </rPr>
      <t xml:space="preserve"> (10%): Specific personal ownership.</t>
    </r>
  </si>
  <si>
    <r>
      <t>Action</t>
    </r>
    <r>
      <rPr>
        <sz val="11"/>
        <color theme="1"/>
        <rFont val="Arial"/>
        <family val="2"/>
      </rPr>
      <t xml:space="preserve"> (60%): Specific decisions, trade-offs, and stakeholder alignment tactics.</t>
    </r>
  </si>
  <si>
    <r>
      <t>Result</t>
    </r>
    <r>
      <rPr>
        <sz val="11"/>
        <color theme="1"/>
        <rFont val="Arial"/>
        <family val="2"/>
      </rPr>
      <t xml:space="preserve"> (15%): Quantifiable business and user metrics.</t>
    </r>
  </si>
  <si>
    <r>
      <t>Reflection</t>
    </r>
    <r>
      <rPr>
        <sz val="11"/>
        <color theme="1"/>
        <rFont val="Arial"/>
        <family val="2"/>
      </rPr>
      <t xml:space="preserve"> (5%): What was learned, what would be done differently, and growth principles.</t>
    </r>
  </si>
  <si>
    <t>Polished, conversational 400-word narrative tailored to specific company cultural archetypes (e.g., research-first labs vs. fast execution cultures).</t>
  </si>
  <si>
    <t>Category 3: AI Industry Depth Skills</t>
  </si>
  <si>
    <t>These skills focus on LLM product development, AI market mechanics, and model governance.</t>
  </si>
  <si>
    <r>
      <t>What It Means</t>
    </r>
    <r>
      <rPr>
        <sz val="11"/>
        <color theme="1"/>
        <rFont val="Arial"/>
        <family val="2"/>
      </rPr>
      <t>: Conducts an end-to-end architectural, UX, and business teardown of real-world AI applications (e.g., ChatGPT, Claude, Midjourney, Cursor, Gemini).</t>
    </r>
  </si>
  <si>
    <t>Product Overview $\rightarrow$ Value Proposition / "10x Magic Moment" $\rightarrow$ UX &amp; Interaction Model $\rightarrow$ Model &amp; Latency Architecture $\rightarrow$ Distribution &amp; Retention Loops $\rightarrow$ Defensibility Moats $\rightarrow$ PM Recommendations.</t>
  </si>
  <si>
    <t>A 7-section audit breaking down how the product makes technical trade-offs (e.g., streaming vs. batching, model distillation vs. frontier models) and where it is vulnerable to competitors.</t>
  </si>
  <si>
    <r>
      <t>What It Means</t>
    </r>
    <r>
      <rPr>
        <sz val="11"/>
        <color theme="1"/>
        <rFont val="Arial"/>
        <family val="2"/>
      </rPr>
      <t>: Analyzes competitive ecosystems across the AI value chain to identify white spaces and structural shifts.</t>
    </r>
  </si>
  <si>
    <t>Layer Analysis (Compute/Infra $\rightarrow$ Foundation Models $\rightarrow$ Developer Tooling $\rightarrow$ End-User Applications) $\rightarrow$ 2x2 Positioning Map $\rightarrow$ Strategic Moats.</t>
  </si>
  <si>
    <t>Comparative landscape matrix detailing pricing models, proprietary data advantages, distribution advantages, and market consolidation risks.</t>
  </si>
  <si>
    <r>
      <t>What It Means</t>
    </r>
    <r>
      <rPr>
        <sz val="11"/>
        <color theme="1"/>
        <rFont val="Arial"/>
        <family val="2"/>
      </rPr>
      <t>: Reconstructs real-world product decisions and pivotal moments in the AI industry to extract transferable principles.</t>
    </r>
  </si>
  <si>
    <t>Context &amp; Market State $\rightarrow$ Strategic Dilemma $\rightarrow$ Alternatives Considered $\rightarrow$ Execution Path $\rightarrow$ Outcomes &amp; Post-Mortem Lessons.</t>
  </si>
  <si>
    <t>Business school-style case study highlighting why a specific AI launch succeeded or failed, and what modern PMs should take away from it.</t>
  </si>
  <si>
    <r>
      <t>What It Means</t>
    </r>
    <r>
      <rPr>
        <sz val="11"/>
        <color theme="1"/>
        <rFont val="Arial"/>
        <family val="2"/>
      </rPr>
      <t>: Systematically balances the tension between model capabilities and safety/alignment guardrails.</t>
    </r>
  </si>
  <si>
    <t>Capability vs. Safety Matrix $\rightarrow$ Abuse &amp; Adversarial Vulnerability Audit $\rightarrow$ Hallucination Tolerance Thresholds $\rightarrow$ Responsible Scaling Policy (RSP) Alignment.</t>
  </si>
  <si>
    <t>Policy document detailing content moderation boundaries, bias mitigations, human-in-the-loop escalation workflows, and transparent fallback behavior.</t>
  </si>
  <si>
    <r>
      <t>What It Means</t>
    </r>
    <r>
      <rPr>
        <sz val="11"/>
        <color theme="1"/>
        <rFont val="Arial"/>
        <family val="2"/>
      </rPr>
      <t>: Runs a real-time, multi-turn mock PM interview session for product sense, execution, system design, or behavioral rounds.</t>
    </r>
  </si>
  <si>
    <t>Persona Emulation $\rightarrow$ Dynamic Follow-up Probing $\rightarrow$ Rubric-Based Evaluation (Structure, Depth, Technical Calibration, User Empathy) $\rightarrow$ Actionable Feedback Scorecard.</t>
  </si>
  <si>
    <t>Interactive interview experience followed by a structured scorecard rating performance across standard competency levels with specific areas for improvement.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</si>
</sst>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8">
    <font>
      <sz val="11"/>
      <color theme="1"/>
      <name val="Calibri"/>
      <family val="2"/>
      <scheme val="minor"/>
    </font>
    <font>
      <b/>
      <sz val="16"/>
      <color rgb="FF0F2744"/>
      <name val="Segoe UI"/>
    </font>
    <font>
      <i/>
      <sz val="10"/>
      <color rgb="FF475569"/>
      <name val="Segoe UI"/>
    </font>
    <font>
      <b/>
      <sz val="8.5"/>
      <color rgb="FF475569"/>
      <name val="Segoe UI"/>
    </font>
    <font>
      <b/>
      <sz val="15"/>
      <color rgb="FF166534"/>
      <name val="Segoe UI"/>
    </font>
    <font>
      <i/>
      <sz val="8"/>
      <color rgb="FF475569"/>
      <name val="Segoe UI"/>
    </font>
    <font>
      <b/>
      <sz val="12"/>
      <color rgb="FF1E4B7A"/>
      <name val="Segoe UI"/>
    </font>
    <font>
      <b/>
      <sz val="9.5"/>
      <color rgb="FF0F172A"/>
      <name val="Segoe UI"/>
    </font>
    <font>
      <sz val="9.5"/>
      <color rgb="FF0F172A"/>
      <name val="Segoe UI"/>
    </font>
    <font>
      <b/>
      <sz val="10"/>
      <color rgb="FFFFFFFF"/>
      <name val="Segoe UI"/>
    </font>
    <font>
      <sz val="9"/>
      <color rgb="FF0F172A"/>
      <name val="Consolas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Google Sans Text"/>
      <family val="2"/>
    </font>
    <font>
      <sz val="10"/>
      <color theme="1"/>
      <name val="Google Sans Text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DCFCE7"/>
        <bgColor rgb="FFDCFCE7"/>
      </patternFill>
    </fill>
    <fill>
      <patternFill patternType="solid">
        <fgColor rgb="FFF1F5F9"/>
        <bgColor rgb="FFF1F5F9"/>
      </patternFill>
    </fill>
    <fill>
      <patternFill patternType="solid">
        <fgColor rgb="FF0F2744"/>
        <bgColor rgb="FF0F2744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94A3B8"/>
      </top>
      <bottom style="medium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F274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9" fillId="5" borderId="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center" wrapText="1"/>
    </xf>
    <xf numFmtId="3" fontId="8" fillId="6" borderId="1" xfId="0" applyNumberFormat="1" applyFont="1" applyFill="1" applyBorder="1" applyAlignment="1">
      <alignment horizontal="right" vertical="center"/>
    </xf>
    <xf numFmtId="164" fontId="8" fillId="6" borderId="1" xfId="0" applyNumberFormat="1" applyFont="1" applyFill="1" applyBorder="1" applyAlignment="1">
      <alignment horizontal="right" vertical="center"/>
    </xf>
    <xf numFmtId="165" fontId="8" fillId="6" borderId="1" xfId="0" applyNumberFormat="1" applyFont="1" applyFill="1" applyBorder="1" applyAlignment="1">
      <alignment horizontal="right" vertical="center"/>
    </xf>
    <xf numFmtId="3" fontId="7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3" fontId="8" fillId="4" borderId="1" xfId="0" applyNumberFormat="1" applyFont="1" applyFill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right" vertical="center"/>
    </xf>
    <xf numFmtId="165" fontId="8" fillId="4" borderId="1" xfId="0" applyNumberFormat="1" applyFont="1" applyFill="1" applyBorder="1" applyAlignment="1">
      <alignment horizontal="right" vertical="center"/>
    </xf>
    <xf numFmtId="3" fontId="7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3" fontId="7" fillId="2" borderId="3" xfId="0" applyNumberFormat="1" applyFont="1" applyFill="1" applyBorder="1"/>
    <xf numFmtId="164" fontId="7" fillId="2" borderId="3" xfId="0" applyNumberFormat="1" applyFont="1" applyFill="1" applyBorder="1"/>
    <xf numFmtId="165" fontId="7" fillId="2" borderId="3" xfId="0" applyNumberFormat="1" applyFont="1" applyFill="1" applyBorder="1"/>
    <xf numFmtId="0" fontId="7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6" fillId="0" borderId="0" xfId="0" applyFont="1"/>
    <xf numFmtId="0" fontId="5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1" fillId="0" borderId="0" xfId="0" applyFont="1"/>
    <xf numFmtId="0" fontId="10" fillId="2" borderId="0" xfId="0" applyFont="1" applyFill="1"/>
    <xf numFmtId="0" fontId="11" fillId="0" borderId="0" xfId="0" applyFont="1"/>
    <xf numFmtId="0" fontId="13" fillId="0" borderId="4" xfId="0" applyFont="1" applyBorder="1" applyAlignment="1">
      <alignment horizontal="left" wrapText="1" indent="1"/>
    </xf>
    <xf numFmtId="0" fontId="14" fillId="0" borderId="4" xfId="0" applyFont="1" applyBorder="1" applyAlignment="1">
      <alignment horizontal="left" wrapText="1" indent="1"/>
    </xf>
    <xf numFmtId="0" fontId="12" fillId="0" borderId="4" xfId="0" applyFont="1" applyBorder="1" applyAlignment="1">
      <alignment horizontal="left" wrapText="1" indent="1"/>
    </xf>
    <xf numFmtId="0" fontId="12" fillId="0" borderId="0" xfId="0" applyFont="1"/>
    <xf numFmtId="0" fontId="16" fillId="0" borderId="0" xfId="0" applyFont="1"/>
    <xf numFmtId="0" fontId="13" fillId="0" borderId="0" xfId="0" applyFont="1"/>
    <xf numFmtId="0" fontId="0" fillId="0" borderId="0" xfId="0" applyAlignment="1">
      <alignment horizontal="left" indent="1"/>
    </xf>
    <xf numFmtId="0" fontId="13" fillId="0" borderId="0" xfId="0" applyFont="1" applyAlignment="1">
      <alignment horizontal="left" indent="1"/>
    </xf>
    <xf numFmtId="0" fontId="12" fillId="0" borderId="0" xfId="0" applyFont="1" applyAlignment="1">
      <alignment horizontal="left" indent="1"/>
    </xf>
    <xf numFmtId="0" fontId="17" fillId="0" borderId="0" xfId="0" applyFont="1"/>
    <xf numFmtId="0" fontId="17" fillId="0" borderId="0" xfId="0" applyFont="1" applyAlignment="1">
      <alignment horizontal="left" indent="2"/>
    </xf>
    <xf numFmtId="0" fontId="0" fillId="0" borderId="0" xfId="0" applyAlignment="1">
      <alignment horizontal="left" indent="2"/>
    </xf>
    <xf numFmtId="0" fontId="15" fillId="0" borderId="0" xfId="0" applyFont="1"/>
    <xf numFmtId="0" fontId="15" fillId="0" borderId="0" xfId="0" applyFont="1" applyAlignment="1">
      <alignment horizontal="left" indent="2"/>
    </xf>
    <xf numFmtId="0" fontId="13" fillId="0" borderId="0" xfId="0" applyFont="1" applyAlignment="1">
      <alignment horizontal="left" indent="2"/>
    </xf>
    <xf numFmtId="3" fontId="12" fillId="0" borderId="4" xfId="0" applyNumberFormat="1" applyFont="1" applyBorder="1" applyAlignment="1">
      <alignment horizontal="left" wrapText="1" indent="1"/>
    </xf>
    <xf numFmtId="9" fontId="12" fillId="0" borderId="4" xfId="0" applyNumberFormat="1" applyFont="1" applyBorder="1" applyAlignment="1">
      <alignment horizontal="left" wrapText="1" indent="1"/>
    </xf>
    <xf numFmtId="3" fontId="13" fillId="0" borderId="4" xfId="0" applyNumberFormat="1" applyFont="1" applyBorder="1" applyAlignment="1">
      <alignment horizontal="left" wrapText="1" indent="1"/>
    </xf>
    <xf numFmtId="0" fontId="12" fillId="0" borderId="0" xfId="0" applyFont="1" applyAlignment="1">
      <alignment horizontal="left" indent="2"/>
    </xf>
    <xf numFmtId="0" fontId="15" fillId="0" borderId="4" xfId="0" applyFont="1" applyBorder="1" applyAlignment="1">
      <alignment horizontal="left" wrapText="1" indent="1"/>
    </xf>
    <xf numFmtId="0" fontId="13" fillId="0" borderId="0" xfId="0" applyFont="1" applyAlignment="1">
      <alignment horizontal="left" indent="3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t>Feature Prioritization by RICE Score</a:t>
            </a:r>
          </a:p>
        </c:rich>
      </c:tx>
    </c:title>
    <c:plotArea>
      <c:layout/>
      <c:barChart>
        <c:barDir val="bar"/>
        <c:grouping val="clustered"/>
        <c:ser>
          <c:idx val="0"/>
          <c:order val="0"/>
          <c:tx>
            <c:strRef>
              <c:f>'RICE Prioritization Model'!$F$4</c:f>
              <c:strCache>
                <c:ptCount val="1"/>
                <c:pt idx="0">
                  <c:v>Calculated
RICE Score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'RICE Prioritization Model'!$A$5:$A$12</c:f>
              <c:strCache>
                <c:ptCount val="8"/>
                <c:pt idx="0">
                  <c:v>Direct FHIR Da Vinci (CRD/DTR/PAS) Integration</c:v>
                </c:pt>
                <c:pt idx="1">
                  <c:v>Multimodal Unstructured PDF Table &amp; Lab Extractor</c:v>
                </c:pt>
                <c:pt idx="2">
                  <c:v>Automated Clinical Denial Drafting (HITL Queue)</c:v>
                </c:pt>
                <c:pt idx="3">
                  <c:v>Pre-Flight Missing Biomarker / Lab Alert for Doctors</c:v>
                </c:pt>
                <c:pt idx="4">
                  <c:v>Real-Time Payer Medical Policy Vector Sync Engine</c:v>
                </c:pt>
                <c:pt idx="5">
                  <c:v>Doctor-Facing Predictive Approval Probability Widget</c:v>
                </c:pt>
                <c:pt idx="6">
                  <c:v>Automated Peer-to-Peer Scheduling Assistant</c:v>
                </c:pt>
                <c:pt idx="7">
                  <c:v>Retrospective Claims Denial Appeal Auto-Generator</c:v>
                </c:pt>
              </c:strCache>
            </c:strRef>
          </c:cat>
          <c:val>
            <c:numRef>
              <c:f>'RICE Prioritization Model'!$F$5:$F$12</c:f>
              <c:numCache>
                <c:formatCode>#,##0</c:formatCode>
                <c:ptCount val="8"/>
                <c:pt idx="0">
                  <c:v>100000</c:v>
                </c:pt>
                <c:pt idx="1">
                  <c:v>90000</c:v>
                </c:pt>
                <c:pt idx="2">
                  <c:v>42000</c:v>
                </c:pt>
                <c:pt idx="3">
                  <c:v>50625</c:v>
                </c:pt>
                <c:pt idx="4">
                  <c:v>51000</c:v>
                </c:pt>
                <c:pt idx="5">
                  <c:v>8000</c:v>
                </c:pt>
                <c:pt idx="6">
                  <c:v>9000</c:v>
                </c:pt>
                <c:pt idx="7">
                  <c:v>8666.6666666666661</c:v>
                </c:pt>
              </c:numCache>
            </c:numRef>
          </c:val>
        </c:ser>
        <c:axId val="127383424"/>
        <c:axId val="127390080"/>
      </c:barChart>
      <c:catAx>
        <c:axId val="127383424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RICE Score</a:t>
                </a:r>
              </a:p>
            </c:rich>
          </c:tx>
        </c:title>
        <c:majorTickMark val="none"/>
        <c:tickLblPos val="nextTo"/>
        <c:crossAx val="127390080"/>
        <c:crosses val="autoZero"/>
        <c:lblAlgn val="ctr"/>
        <c:lblOffset val="100"/>
      </c:catAx>
      <c:valAx>
        <c:axId val="127390080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Feature Name</a:t>
                </a:r>
              </a:p>
            </c:rich>
          </c:tx>
        </c:title>
        <c:numFmt formatCode="#,##0" sourceLinked="1"/>
        <c:majorTickMark val="none"/>
        <c:tickLblPos val="nextTo"/>
        <c:crossAx val="127383424"/>
        <c:crosses val="autoZero"/>
        <c:crossBetween val="between"/>
      </c:valAx>
    </c:plotArea>
    <c:plotVisOnly val="1"/>
    <c:dispBlanksAs val="gap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6480000" cy="3600000"/>
    <xdr:graphicFrame macro="">
      <xdr:nvGraphicFramePr>
        <xdr:cNvPr id="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>
      <selection sqref="A1:G1"/>
    </sheetView>
  </sheetViews>
  <sheetFormatPr defaultRowHeight="15"/>
  <cols>
    <col min="1" max="1" width="16" customWidth="1"/>
    <col min="2" max="2" width="24" customWidth="1"/>
    <col min="3" max="3" width="22" customWidth="1"/>
    <col min="4" max="4" width="44" customWidth="1"/>
    <col min="5" max="5" width="40" customWidth="1"/>
    <col min="6" max="6" width="10" customWidth="1"/>
    <col min="7" max="7" width="14" customWidth="1"/>
  </cols>
  <sheetData>
    <row r="1" spans="1:7" ht="27.95" customHeight="1">
      <c r="A1" s="36" t="s">
        <v>0</v>
      </c>
      <c r="B1" s="33"/>
      <c r="C1" s="33"/>
      <c r="D1" s="33"/>
      <c r="E1" s="33"/>
      <c r="F1" s="33"/>
      <c r="G1" s="33"/>
    </row>
    <row r="2" spans="1:7" ht="18" customHeight="1">
      <c r="A2" s="39" t="s">
        <v>1</v>
      </c>
      <c r="B2" s="33"/>
      <c r="C2" s="33"/>
      <c r="D2" s="33"/>
      <c r="E2" s="33"/>
      <c r="F2" s="33"/>
      <c r="G2" s="33"/>
    </row>
    <row r="4" spans="1:7" ht="20.100000000000001" customHeight="1">
      <c r="A4" s="32" t="s">
        <v>2</v>
      </c>
      <c r="B4" s="33"/>
      <c r="C4" s="32" t="s">
        <v>3</v>
      </c>
      <c r="D4" s="33"/>
      <c r="E4" s="32" t="s">
        <v>4</v>
      </c>
      <c r="F4" s="33"/>
      <c r="G4" s="1" t="s">
        <v>5</v>
      </c>
    </row>
    <row r="5" spans="1:7" ht="20.100000000000001" customHeight="1">
      <c r="A5" s="38" t="s">
        <v>6</v>
      </c>
      <c r="B5" s="33"/>
      <c r="C5" s="38" t="s">
        <v>7</v>
      </c>
      <c r="D5" s="33"/>
      <c r="E5" s="38" t="s">
        <v>8</v>
      </c>
      <c r="F5" s="33"/>
      <c r="G5" s="2" t="s">
        <v>9</v>
      </c>
    </row>
    <row r="6" spans="1:7" ht="20.100000000000001" customHeight="1">
      <c r="A6" s="35" t="s">
        <v>10</v>
      </c>
      <c r="B6" s="33"/>
      <c r="C6" s="35" t="s">
        <v>11</v>
      </c>
      <c r="D6" s="33"/>
      <c r="E6" s="35" t="s">
        <v>12</v>
      </c>
      <c r="F6" s="33"/>
      <c r="G6" s="3" t="s">
        <v>13</v>
      </c>
    </row>
    <row r="8" spans="1:7" ht="17.25">
      <c r="A8" s="34" t="s">
        <v>14</v>
      </c>
      <c r="B8" s="33"/>
      <c r="C8" s="33"/>
      <c r="D8" s="33"/>
      <c r="E8" s="33"/>
      <c r="F8" s="33"/>
      <c r="G8" s="33"/>
    </row>
    <row r="9" spans="1:7" ht="36" customHeight="1">
      <c r="A9" s="4" t="s">
        <v>15</v>
      </c>
      <c r="B9" s="37" t="s">
        <v>16</v>
      </c>
      <c r="C9" s="33"/>
      <c r="D9" s="33"/>
      <c r="E9" s="33"/>
      <c r="F9" s="33"/>
      <c r="G9" s="33"/>
    </row>
    <row r="10" spans="1:7" ht="36" customHeight="1">
      <c r="A10" s="4" t="s">
        <v>17</v>
      </c>
      <c r="B10" s="37" t="s">
        <v>18</v>
      </c>
      <c r="C10" s="33"/>
      <c r="D10" s="33"/>
      <c r="E10" s="33"/>
      <c r="F10" s="33"/>
      <c r="G10" s="33"/>
    </row>
    <row r="11" spans="1:7" ht="36" customHeight="1">
      <c r="A11" s="4" t="s">
        <v>19</v>
      </c>
      <c r="B11" s="37" t="s">
        <v>20</v>
      </c>
      <c r="C11" s="33"/>
      <c r="D11" s="33"/>
      <c r="E11" s="33"/>
      <c r="F11" s="33"/>
      <c r="G11" s="33"/>
    </row>
    <row r="12" spans="1:7" ht="36" customHeight="1">
      <c r="A12" s="4" t="s">
        <v>21</v>
      </c>
      <c r="B12" s="37" t="s">
        <v>22</v>
      </c>
      <c r="C12" s="33"/>
      <c r="D12" s="33"/>
      <c r="E12" s="33"/>
      <c r="F12" s="33"/>
      <c r="G12" s="33"/>
    </row>
    <row r="14" spans="1:7" ht="17.25">
      <c r="A14" s="34" t="s">
        <v>23</v>
      </c>
      <c r="B14" s="33"/>
      <c r="C14" s="33"/>
      <c r="D14" s="33"/>
      <c r="E14" s="33"/>
      <c r="F14" s="33"/>
      <c r="G14" s="33"/>
    </row>
    <row r="15" spans="1:7" ht="24" customHeight="1">
      <c r="A15" s="5" t="s">
        <v>24</v>
      </c>
      <c r="B15" s="5" t="s">
        <v>25</v>
      </c>
      <c r="C15" s="5" t="s">
        <v>26</v>
      </c>
      <c r="D15" s="5" t="s">
        <v>27</v>
      </c>
      <c r="E15" s="5" t="s">
        <v>28</v>
      </c>
      <c r="F15" s="5" t="s">
        <v>29</v>
      </c>
      <c r="G15" s="5" t="s">
        <v>30</v>
      </c>
    </row>
    <row r="16" spans="1:7" ht="20.100000000000001" customHeight="1">
      <c r="A16" s="6" t="s">
        <v>31</v>
      </c>
      <c r="B16" s="7" t="s">
        <v>32</v>
      </c>
      <c r="C16" s="6" t="s">
        <v>33</v>
      </c>
      <c r="D16" s="7" t="s">
        <v>34</v>
      </c>
      <c r="E16" s="7" t="s">
        <v>35</v>
      </c>
      <c r="F16" s="6" t="s">
        <v>36</v>
      </c>
      <c r="G16" s="6" t="s">
        <v>37</v>
      </c>
    </row>
    <row r="17" spans="1:7" ht="20.100000000000001" customHeight="1">
      <c r="A17" s="8" t="s">
        <v>31</v>
      </c>
      <c r="B17" s="9" t="s">
        <v>38</v>
      </c>
      <c r="C17" s="8" t="s">
        <v>39</v>
      </c>
      <c r="D17" s="9" t="s">
        <v>40</v>
      </c>
      <c r="E17" s="9" t="s">
        <v>41</v>
      </c>
      <c r="F17" s="8" t="s">
        <v>36</v>
      </c>
      <c r="G17" s="8" t="s">
        <v>37</v>
      </c>
    </row>
    <row r="18" spans="1:7" ht="20.100000000000001" customHeight="1">
      <c r="A18" s="6" t="s">
        <v>31</v>
      </c>
      <c r="B18" s="7" t="s">
        <v>42</v>
      </c>
      <c r="C18" s="6" t="s">
        <v>43</v>
      </c>
      <c r="D18" s="7" t="s">
        <v>44</v>
      </c>
      <c r="E18" s="7" t="s">
        <v>45</v>
      </c>
      <c r="F18" s="6" t="s">
        <v>36</v>
      </c>
      <c r="G18" s="6" t="s">
        <v>46</v>
      </c>
    </row>
    <row r="19" spans="1:7" ht="20.100000000000001" customHeight="1">
      <c r="A19" s="8" t="s">
        <v>31</v>
      </c>
      <c r="B19" s="9" t="s">
        <v>47</v>
      </c>
      <c r="C19" s="8" t="s">
        <v>48</v>
      </c>
      <c r="D19" s="9" t="s">
        <v>49</v>
      </c>
      <c r="E19" s="9" t="s">
        <v>50</v>
      </c>
      <c r="F19" s="8" t="s">
        <v>51</v>
      </c>
      <c r="G19" s="8" t="s">
        <v>52</v>
      </c>
    </row>
    <row r="20" spans="1:7" ht="20.100000000000001" customHeight="1">
      <c r="A20" s="6" t="s">
        <v>31</v>
      </c>
      <c r="B20" s="7" t="s">
        <v>53</v>
      </c>
      <c r="C20" s="6" t="s">
        <v>54</v>
      </c>
      <c r="D20" s="7" t="s">
        <v>55</v>
      </c>
      <c r="E20" s="7" t="s">
        <v>56</v>
      </c>
      <c r="F20" s="6" t="s">
        <v>36</v>
      </c>
      <c r="G20" s="6" t="s">
        <v>37</v>
      </c>
    </row>
    <row r="21" spans="1:7" ht="20.100000000000001" customHeight="1">
      <c r="A21" s="8" t="s">
        <v>31</v>
      </c>
      <c r="B21" s="9" t="s">
        <v>57</v>
      </c>
      <c r="C21" s="8" t="s">
        <v>58</v>
      </c>
      <c r="D21" s="9" t="s">
        <v>59</v>
      </c>
      <c r="E21" s="9" t="s">
        <v>60</v>
      </c>
      <c r="F21" s="8" t="s">
        <v>36</v>
      </c>
      <c r="G21" s="8" t="s">
        <v>61</v>
      </c>
    </row>
    <row r="22" spans="1:7" ht="20.100000000000001" customHeight="1">
      <c r="A22" s="6" t="s">
        <v>31</v>
      </c>
      <c r="B22" s="7" t="s">
        <v>62</v>
      </c>
      <c r="C22" s="6" t="s">
        <v>63</v>
      </c>
      <c r="D22" s="7" t="s">
        <v>64</v>
      </c>
      <c r="E22" s="7" t="s">
        <v>65</v>
      </c>
      <c r="F22" s="6" t="s">
        <v>51</v>
      </c>
      <c r="G22" s="6" t="s">
        <v>66</v>
      </c>
    </row>
    <row r="23" spans="1:7" ht="20.100000000000001" customHeight="1">
      <c r="A23" s="8" t="s">
        <v>67</v>
      </c>
      <c r="B23" s="9" t="s">
        <v>68</v>
      </c>
      <c r="C23" s="8" t="s">
        <v>69</v>
      </c>
      <c r="D23" s="9" t="s">
        <v>70</v>
      </c>
      <c r="E23" s="9" t="s">
        <v>71</v>
      </c>
      <c r="F23" s="8" t="s">
        <v>51</v>
      </c>
      <c r="G23" s="8" t="s">
        <v>37</v>
      </c>
    </row>
    <row r="24" spans="1:7" ht="20.100000000000001" customHeight="1">
      <c r="A24" s="6" t="s">
        <v>67</v>
      </c>
      <c r="B24" s="7" t="s">
        <v>72</v>
      </c>
      <c r="C24" s="6" t="s">
        <v>73</v>
      </c>
      <c r="D24" s="7" t="s">
        <v>74</v>
      </c>
      <c r="E24" s="7" t="s">
        <v>75</v>
      </c>
      <c r="F24" s="6" t="s">
        <v>36</v>
      </c>
      <c r="G24" s="6" t="s">
        <v>76</v>
      </c>
    </row>
    <row r="25" spans="1:7" ht="20.100000000000001" customHeight="1">
      <c r="A25" s="8" t="s">
        <v>67</v>
      </c>
      <c r="B25" s="9" t="s">
        <v>77</v>
      </c>
      <c r="C25" s="8" t="s">
        <v>78</v>
      </c>
      <c r="D25" s="9" t="s">
        <v>79</v>
      </c>
      <c r="E25" s="9" t="s">
        <v>80</v>
      </c>
      <c r="F25" s="8" t="s">
        <v>51</v>
      </c>
      <c r="G25" s="8" t="s">
        <v>81</v>
      </c>
    </row>
    <row r="26" spans="1:7" ht="20.100000000000001" customHeight="1">
      <c r="A26" s="6" t="s">
        <v>67</v>
      </c>
      <c r="B26" s="7" t="s">
        <v>82</v>
      </c>
      <c r="C26" s="6" t="s">
        <v>83</v>
      </c>
      <c r="D26" s="7" t="s">
        <v>84</v>
      </c>
      <c r="E26" s="7" t="s">
        <v>85</v>
      </c>
      <c r="F26" s="6" t="s">
        <v>36</v>
      </c>
      <c r="G26" s="6" t="s">
        <v>82</v>
      </c>
    </row>
    <row r="27" spans="1:7" ht="20.100000000000001" customHeight="1">
      <c r="A27" s="8" t="s">
        <v>67</v>
      </c>
      <c r="B27" s="9" t="s">
        <v>86</v>
      </c>
      <c r="C27" s="8" t="s">
        <v>87</v>
      </c>
      <c r="D27" s="9" t="s">
        <v>88</v>
      </c>
      <c r="E27" s="9" t="s">
        <v>89</v>
      </c>
      <c r="F27" s="8" t="s">
        <v>51</v>
      </c>
      <c r="G27" s="8" t="s">
        <v>37</v>
      </c>
    </row>
    <row r="28" spans="1:7" ht="20.100000000000001" customHeight="1">
      <c r="A28" s="6" t="s">
        <v>90</v>
      </c>
      <c r="B28" s="7" t="s">
        <v>91</v>
      </c>
      <c r="C28" s="6" t="s">
        <v>92</v>
      </c>
      <c r="D28" s="7" t="s">
        <v>93</v>
      </c>
      <c r="E28" s="7" t="s">
        <v>94</v>
      </c>
      <c r="F28" s="6" t="s">
        <v>51</v>
      </c>
      <c r="G28" s="6" t="s">
        <v>95</v>
      </c>
    </row>
    <row r="29" spans="1:7" ht="20.100000000000001" customHeight="1">
      <c r="A29" s="8" t="s">
        <v>90</v>
      </c>
      <c r="B29" s="9" t="s">
        <v>96</v>
      </c>
      <c r="C29" s="8" t="s">
        <v>97</v>
      </c>
      <c r="D29" s="9" t="s">
        <v>98</v>
      </c>
      <c r="E29" s="9" t="s">
        <v>99</v>
      </c>
      <c r="F29" s="8" t="s">
        <v>36</v>
      </c>
      <c r="G29" s="8" t="s">
        <v>100</v>
      </c>
    </row>
    <row r="30" spans="1:7" ht="20.100000000000001" customHeight="1">
      <c r="A30" s="6" t="s">
        <v>90</v>
      </c>
      <c r="B30" s="7" t="s">
        <v>101</v>
      </c>
      <c r="C30" s="6" t="s">
        <v>102</v>
      </c>
      <c r="D30" s="7" t="s">
        <v>103</v>
      </c>
      <c r="E30" s="7" t="s">
        <v>104</v>
      </c>
      <c r="F30" s="6" t="s">
        <v>51</v>
      </c>
      <c r="G30" s="6" t="s">
        <v>37</v>
      </c>
    </row>
    <row r="31" spans="1:7" ht="20.100000000000001" customHeight="1">
      <c r="A31" s="8" t="s">
        <v>90</v>
      </c>
      <c r="B31" s="9" t="s">
        <v>105</v>
      </c>
      <c r="C31" s="8" t="s">
        <v>106</v>
      </c>
      <c r="D31" s="9" t="s">
        <v>107</v>
      </c>
      <c r="E31" s="9" t="s">
        <v>108</v>
      </c>
      <c r="F31" s="8" t="s">
        <v>36</v>
      </c>
      <c r="G31" s="8" t="s">
        <v>109</v>
      </c>
    </row>
    <row r="32" spans="1:7" ht="20.100000000000001" customHeight="1">
      <c r="A32" s="6" t="s">
        <v>90</v>
      </c>
      <c r="B32" s="7" t="s">
        <v>110</v>
      </c>
      <c r="C32" s="6" t="s">
        <v>111</v>
      </c>
      <c r="D32" s="7" t="s">
        <v>112</v>
      </c>
      <c r="E32" s="7" t="s">
        <v>113</v>
      </c>
      <c r="F32" s="6" t="s">
        <v>114</v>
      </c>
      <c r="G32" s="6" t="s">
        <v>115</v>
      </c>
    </row>
  </sheetData>
  <mergeCells count="17">
    <mergeCell ref="C4:D4"/>
    <mergeCell ref="A4:B4"/>
    <mergeCell ref="E4:F4"/>
    <mergeCell ref="A14:G14"/>
    <mergeCell ref="E6:F6"/>
    <mergeCell ref="A1:G1"/>
    <mergeCell ref="C6:D6"/>
    <mergeCell ref="B10:G10"/>
    <mergeCell ref="A8:G8"/>
    <mergeCell ref="C5:D5"/>
    <mergeCell ref="A5:B5"/>
    <mergeCell ref="B9:G9"/>
    <mergeCell ref="E5:F5"/>
    <mergeCell ref="A2:G2"/>
    <mergeCell ref="B12:G12"/>
    <mergeCell ref="A6:B6"/>
    <mergeCell ref="B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6" customWidth="1"/>
    <col min="2" max="2" width="16" customWidth="1"/>
    <col min="3" max="3" width="24" customWidth="1"/>
    <col min="4" max="4" width="22" customWidth="1"/>
    <col min="5" max="5" width="38" customWidth="1"/>
    <col min="6" max="6" width="42" customWidth="1"/>
    <col min="7" max="7" width="36" customWidth="1"/>
  </cols>
  <sheetData>
    <row r="1" spans="1:7" ht="24" customHeight="1">
      <c r="A1" s="41" t="s">
        <v>116</v>
      </c>
      <c r="B1" s="33"/>
      <c r="C1" s="33"/>
      <c r="D1" s="33"/>
      <c r="E1" s="33"/>
      <c r="F1" s="33"/>
      <c r="G1" s="33"/>
    </row>
    <row r="2" spans="1:7" ht="15.95" customHeight="1">
      <c r="A2" s="40" t="s">
        <v>117</v>
      </c>
      <c r="B2" s="33"/>
      <c r="C2" s="33"/>
      <c r="D2" s="33"/>
      <c r="E2" s="33"/>
      <c r="F2" s="33"/>
      <c r="G2" s="33"/>
    </row>
    <row r="3" spans="1:7" ht="24" customHeight="1">
      <c r="A3" s="5" t="s">
        <v>118</v>
      </c>
      <c r="B3" s="5" t="s">
        <v>24</v>
      </c>
      <c r="C3" s="5" t="s">
        <v>119</v>
      </c>
      <c r="D3" s="5" t="s">
        <v>120</v>
      </c>
      <c r="E3" s="5" t="s">
        <v>121</v>
      </c>
      <c r="F3" s="5" t="s">
        <v>122</v>
      </c>
      <c r="G3" s="5" t="s">
        <v>123</v>
      </c>
    </row>
    <row r="4" spans="1:7" ht="42" customHeight="1">
      <c r="A4" s="6">
        <v>1</v>
      </c>
      <c r="B4" s="6" t="s">
        <v>31</v>
      </c>
      <c r="C4" s="10" t="s">
        <v>32</v>
      </c>
      <c r="D4" s="6" t="s">
        <v>33</v>
      </c>
      <c r="E4" s="10" t="s">
        <v>124</v>
      </c>
      <c r="F4" s="10" t="s">
        <v>125</v>
      </c>
      <c r="G4" s="10" t="s">
        <v>126</v>
      </c>
    </row>
    <row r="5" spans="1:7" ht="42" customHeight="1">
      <c r="A5" s="8">
        <v>2</v>
      </c>
      <c r="B5" s="8" t="s">
        <v>31</v>
      </c>
      <c r="C5" s="11" t="s">
        <v>38</v>
      </c>
      <c r="D5" s="8" t="s">
        <v>39</v>
      </c>
      <c r="E5" s="11" t="s">
        <v>127</v>
      </c>
      <c r="F5" s="11" t="s">
        <v>128</v>
      </c>
      <c r="G5" s="11" t="s">
        <v>129</v>
      </c>
    </row>
    <row r="6" spans="1:7" ht="42" customHeight="1">
      <c r="A6" s="6">
        <v>3</v>
      </c>
      <c r="B6" s="6" t="s">
        <v>31</v>
      </c>
      <c r="C6" s="10" t="s">
        <v>42</v>
      </c>
      <c r="D6" s="6" t="s">
        <v>43</v>
      </c>
      <c r="E6" s="10" t="s">
        <v>130</v>
      </c>
      <c r="F6" s="10" t="s">
        <v>131</v>
      </c>
      <c r="G6" s="10" t="s">
        <v>132</v>
      </c>
    </row>
    <row r="7" spans="1:7" ht="42" customHeight="1">
      <c r="A7" s="8">
        <v>4</v>
      </c>
      <c r="B7" s="8" t="s">
        <v>31</v>
      </c>
      <c r="C7" s="11" t="s">
        <v>47</v>
      </c>
      <c r="D7" s="8" t="s">
        <v>48</v>
      </c>
      <c r="E7" s="11" t="s">
        <v>133</v>
      </c>
      <c r="F7" s="11" t="s">
        <v>134</v>
      </c>
      <c r="G7" s="11" t="s">
        <v>135</v>
      </c>
    </row>
    <row r="8" spans="1:7" ht="42" customHeight="1">
      <c r="A8" s="6">
        <v>5</v>
      </c>
      <c r="B8" s="6" t="s">
        <v>31</v>
      </c>
      <c r="C8" s="10" t="s">
        <v>53</v>
      </c>
      <c r="D8" s="6" t="s">
        <v>54</v>
      </c>
      <c r="E8" s="10" t="s">
        <v>136</v>
      </c>
      <c r="F8" s="10" t="s">
        <v>137</v>
      </c>
      <c r="G8" s="10" t="s">
        <v>138</v>
      </c>
    </row>
    <row r="9" spans="1:7" ht="42" customHeight="1">
      <c r="A9" s="8">
        <v>6</v>
      </c>
      <c r="B9" s="8" t="s">
        <v>31</v>
      </c>
      <c r="C9" s="11" t="s">
        <v>57</v>
      </c>
      <c r="D9" s="8" t="s">
        <v>58</v>
      </c>
      <c r="E9" s="11" t="s">
        <v>139</v>
      </c>
      <c r="F9" s="11" t="s">
        <v>140</v>
      </c>
      <c r="G9" s="11" t="s">
        <v>141</v>
      </c>
    </row>
    <row r="10" spans="1:7" ht="42" customHeight="1">
      <c r="A10" s="6">
        <v>7</v>
      </c>
      <c r="B10" s="6" t="s">
        <v>31</v>
      </c>
      <c r="C10" s="10" t="s">
        <v>62</v>
      </c>
      <c r="D10" s="6" t="s">
        <v>63</v>
      </c>
      <c r="E10" s="10" t="s">
        <v>142</v>
      </c>
      <c r="F10" s="10" t="s">
        <v>143</v>
      </c>
      <c r="G10" s="10" t="s">
        <v>144</v>
      </c>
    </row>
    <row r="11" spans="1:7" ht="42" customHeight="1">
      <c r="A11" s="8">
        <v>8</v>
      </c>
      <c r="B11" s="8" t="s">
        <v>67</v>
      </c>
      <c r="C11" s="11" t="s">
        <v>68</v>
      </c>
      <c r="D11" s="8" t="s">
        <v>69</v>
      </c>
      <c r="E11" s="11" t="s">
        <v>145</v>
      </c>
      <c r="F11" s="11" t="s">
        <v>146</v>
      </c>
      <c r="G11" s="11" t="s">
        <v>147</v>
      </c>
    </row>
    <row r="12" spans="1:7" ht="42" customHeight="1">
      <c r="A12" s="6">
        <v>9</v>
      </c>
      <c r="B12" s="6" t="s">
        <v>67</v>
      </c>
      <c r="C12" s="10" t="s">
        <v>72</v>
      </c>
      <c r="D12" s="6" t="s">
        <v>73</v>
      </c>
      <c r="E12" s="10" t="s">
        <v>148</v>
      </c>
      <c r="F12" s="10" t="s">
        <v>149</v>
      </c>
      <c r="G12" s="10" t="s">
        <v>150</v>
      </c>
    </row>
    <row r="13" spans="1:7" ht="42" customHeight="1">
      <c r="A13" s="8">
        <v>10</v>
      </c>
      <c r="B13" s="8" t="s">
        <v>67</v>
      </c>
      <c r="C13" s="11" t="s">
        <v>77</v>
      </c>
      <c r="D13" s="8" t="s">
        <v>78</v>
      </c>
      <c r="E13" s="11" t="s">
        <v>151</v>
      </c>
      <c r="F13" s="11" t="s">
        <v>152</v>
      </c>
      <c r="G13" s="11" t="s">
        <v>153</v>
      </c>
    </row>
    <row r="14" spans="1:7" ht="42" customHeight="1">
      <c r="A14" s="6">
        <v>11</v>
      </c>
      <c r="B14" s="6" t="s">
        <v>67</v>
      </c>
      <c r="C14" s="10" t="s">
        <v>82</v>
      </c>
      <c r="D14" s="6" t="s">
        <v>83</v>
      </c>
      <c r="E14" s="10" t="s">
        <v>154</v>
      </c>
      <c r="F14" s="10" t="s">
        <v>155</v>
      </c>
      <c r="G14" s="10" t="s">
        <v>156</v>
      </c>
    </row>
    <row r="15" spans="1:7" ht="42" customHeight="1">
      <c r="A15" s="8">
        <v>12</v>
      </c>
      <c r="B15" s="8" t="s">
        <v>67</v>
      </c>
      <c r="C15" s="11" t="s">
        <v>86</v>
      </c>
      <c r="D15" s="8" t="s">
        <v>87</v>
      </c>
      <c r="E15" s="11" t="s">
        <v>157</v>
      </c>
      <c r="F15" s="11" t="s">
        <v>158</v>
      </c>
      <c r="G15" s="11" t="s">
        <v>159</v>
      </c>
    </row>
    <row r="16" spans="1:7" ht="42" customHeight="1">
      <c r="A16" s="6">
        <v>13</v>
      </c>
      <c r="B16" s="6" t="s">
        <v>90</v>
      </c>
      <c r="C16" s="10" t="s">
        <v>91</v>
      </c>
      <c r="D16" s="6" t="s">
        <v>92</v>
      </c>
      <c r="E16" s="10" t="s">
        <v>160</v>
      </c>
      <c r="F16" s="10" t="s">
        <v>161</v>
      </c>
      <c r="G16" s="10" t="s">
        <v>162</v>
      </c>
    </row>
    <row r="17" spans="1:7" ht="42" customHeight="1">
      <c r="A17" s="8">
        <v>14</v>
      </c>
      <c r="B17" s="8" t="s">
        <v>90</v>
      </c>
      <c r="C17" s="11" t="s">
        <v>96</v>
      </c>
      <c r="D17" s="8" t="s">
        <v>97</v>
      </c>
      <c r="E17" s="11" t="s">
        <v>163</v>
      </c>
      <c r="F17" s="11" t="s">
        <v>164</v>
      </c>
      <c r="G17" s="11" t="s">
        <v>165</v>
      </c>
    </row>
    <row r="18" spans="1:7" ht="42" customHeight="1">
      <c r="A18" s="6">
        <v>15</v>
      </c>
      <c r="B18" s="6" t="s">
        <v>90</v>
      </c>
      <c r="C18" s="10" t="s">
        <v>101</v>
      </c>
      <c r="D18" s="6" t="s">
        <v>102</v>
      </c>
      <c r="E18" s="10" t="s">
        <v>166</v>
      </c>
      <c r="F18" s="10" t="s">
        <v>167</v>
      </c>
      <c r="G18" s="10" t="s">
        <v>168</v>
      </c>
    </row>
    <row r="19" spans="1:7" ht="42" customHeight="1">
      <c r="A19" s="8">
        <v>16</v>
      </c>
      <c r="B19" s="8" t="s">
        <v>90</v>
      </c>
      <c r="C19" s="11" t="s">
        <v>105</v>
      </c>
      <c r="D19" s="8" t="s">
        <v>106</v>
      </c>
      <c r="E19" s="11" t="s">
        <v>169</v>
      </c>
      <c r="F19" s="11" t="s">
        <v>170</v>
      </c>
      <c r="G19" s="11" t="s">
        <v>171</v>
      </c>
    </row>
    <row r="20" spans="1:7" ht="42" customHeight="1">
      <c r="A20" s="6">
        <v>17</v>
      </c>
      <c r="B20" s="6" t="s">
        <v>90</v>
      </c>
      <c r="C20" s="10" t="s">
        <v>110</v>
      </c>
      <c r="D20" s="6" t="s">
        <v>111</v>
      </c>
      <c r="E20" s="10" t="s">
        <v>172</v>
      </c>
      <c r="F20" s="10" t="s">
        <v>173</v>
      </c>
      <c r="G20" s="10" t="s">
        <v>174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4" customWidth="1"/>
    <col min="3" max="3" width="50" customWidth="1"/>
    <col min="4" max="4" width="20" customWidth="1"/>
    <col min="5" max="5" width="22" customWidth="1"/>
    <col min="6" max="6" width="12" customWidth="1"/>
  </cols>
  <sheetData>
    <row r="1" spans="1:6" ht="24" customHeight="1">
      <c r="A1" s="41" t="s">
        <v>175</v>
      </c>
      <c r="B1" s="33"/>
      <c r="C1" s="33"/>
      <c r="D1" s="33"/>
      <c r="E1" s="33"/>
      <c r="F1" s="33"/>
    </row>
    <row r="2" spans="1:6" ht="15.95" customHeight="1">
      <c r="A2" s="40" t="s">
        <v>176</v>
      </c>
      <c r="B2" s="33"/>
      <c r="C2" s="33"/>
      <c r="D2" s="33"/>
      <c r="E2" s="33"/>
      <c r="F2" s="33"/>
    </row>
    <row r="3" spans="1:6" ht="24" customHeight="1">
      <c r="A3" s="5" t="s">
        <v>177</v>
      </c>
      <c r="B3" s="5" t="s">
        <v>178</v>
      </c>
      <c r="C3" s="5" t="s">
        <v>179</v>
      </c>
      <c r="D3" s="5" t="s">
        <v>180</v>
      </c>
      <c r="E3" s="5" t="s">
        <v>181</v>
      </c>
      <c r="F3" s="5" t="s">
        <v>182</v>
      </c>
    </row>
    <row r="4" spans="1:6" ht="38.1" customHeight="1">
      <c r="A4" s="6" t="s">
        <v>183</v>
      </c>
      <c r="B4" s="6" t="s">
        <v>184</v>
      </c>
      <c r="C4" s="10" t="s">
        <v>185</v>
      </c>
      <c r="D4" s="6" t="s">
        <v>186</v>
      </c>
      <c r="E4" s="10" t="s">
        <v>187</v>
      </c>
      <c r="F4" s="6" t="s">
        <v>188</v>
      </c>
    </row>
    <row r="5" spans="1:6" ht="38.1" customHeight="1">
      <c r="A5" s="8" t="s">
        <v>183</v>
      </c>
      <c r="B5" s="8" t="s">
        <v>189</v>
      </c>
      <c r="C5" s="11" t="s">
        <v>190</v>
      </c>
      <c r="D5" s="8" t="s">
        <v>191</v>
      </c>
      <c r="E5" s="11" t="s">
        <v>192</v>
      </c>
      <c r="F5" s="8" t="s">
        <v>193</v>
      </c>
    </row>
    <row r="6" spans="1:6" ht="38.1" customHeight="1">
      <c r="A6" s="6" t="s">
        <v>183</v>
      </c>
      <c r="B6" s="6" t="s">
        <v>194</v>
      </c>
      <c r="C6" s="10" t="s">
        <v>195</v>
      </c>
      <c r="D6" s="6" t="s">
        <v>196</v>
      </c>
      <c r="E6" s="10" t="s">
        <v>197</v>
      </c>
      <c r="F6" s="6" t="s">
        <v>198</v>
      </c>
    </row>
    <row r="7" spans="1:6" ht="38.1" customHeight="1">
      <c r="A7" s="8" t="s">
        <v>183</v>
      </c>
      <c r="B7" s="8" t="s">
        <v>199</v>
      </c>
      <c r="C7" s="11" t="s">
        <v>200</v>
      </c>
      <c r="D7" s="8" t="s">
        <v>201</v>
      </c>
      <c r="E7" s="11" t="s">
        <v>202</v>
      </c>
      <c r="F7" s="8" t="s">
        <v>188</v>
      </c>
    </row>
    <row r="8" spans="1:6" ht="38.1" customHeight="1">
      <c r="A8" s="6" t="s">
        <v>183</v>
      </c>
      <c r="B8" s="6" t="s">
        <v>203</v>
      </c>
      <c r="C8" s="10" t="s">
        <v>204</v>
      </c>
      <c r="D8" s="6" t="s">
        <v>205</v>
      </c>
      <c r="E8" s="10" t="s">
        <v>206</v>
      </c>
      <c r="F8" s="6" t="s">
        <v>188</v>
      </c>
    </row>
    <row r="9" spans="1:6" ht="38.1" customHeight="1">
      <c r="A9" s="8" t="s">
        <v>207</v>
      </c>
      <c r="B9" s="8" t="s">
        <v>208</v>
      </c>
      <c r="C9" s="11" t="s">
        <v>209</v>
      </c>
      <c r="D9" s="8" t="s">
        <v>210</v>
      </c>
      <c r="E9" s="11" t="s">
        <v>211</v>
      </c>
      <c r="F9" s="8" t="s">
        <v>188</v>
      </c>
    </row>
    <row r="10" spans="1:6" ht="38.1" customHeight="1">
      <c r="A10" s="6" t="s">
        <v>207</v>
      </c>
      <c r="B10" s="6" t="s">
        <v>212</v>
      </c>
      <c r="C10" s="10" t="s">
        <v>213</v>
      </c>
      <c r="D10" s="6" t="s">
        <v>214</v>
      </c>
      <c r="E10" s="10" t="s">
        <v>215</v>
      </c>
      <c r="F10" s="6" t="s">
        <v>216</v>
      </c>
    </row>
    <row r="11" spans="1:6" ht="38.1" customHeight="1">
      <c r="A11" s="8" t="s">
        <v>207</v>
      </c>
      <c r="B11" s="8" t="s">
        <v>217</v>
      </c>
      <c r="C11" s="11" t="s">
        <v>218</v>
      </c>
      <c r="D11" s="8" t="s">
        <v>219</v>
      </c>
      <c r="E11" s="11" t="s">
        <v>220</v>
      </c>
      <c r="F11" s="8" t="s">
        <v>221</v>
      </c>
    </row>
    <row r="12" spans="1:6" ht="38.1" customHeight="1">
      <c r="A12" s="6" t="s">
        <v>222</v>
      </c>
      <c r="B12" s="6" t="s">
        <v>223</v>
      </c>
      <c r="C12" s="10" t="s">
        <v>224</v>
      </c>
      <c r="D12" s="6" t="s">
        <v>225</v>
      </c>
      <c r="E12" s="10" t="s">
        <v>226</v>
      </c>
      <c r="F12" s="6" t="s">
        <v>227</v>
      </c>
    </row>
    <row r="13" spans="1:6" ht="38.1" customHeight="1">
      <c r="A13" s="8" t="s">
        <v>222</v>
      </c>
      <c r="B13" s="8" t="s">
        <v>228</v>
      </c>
      <c r="C13" s="11" t="s">
        <v>229</v>
      </c>
      <c r="D13" s="8" t="s">
        <v>230</v>
      </c>
      <c r="E13" s="11" t="s">
        <v>231</v>
      </c>
      <c r="F13" s="8" t="s">
        <v>227</v>
      </c>
    </row>
    <row r="14" spans="1:6" ht="38.1" customHeight="1">
      <c r="A14" s="6" t="s">
        <v>222</v>
      </c>
      <c r="B14" s="6" t="s">
        <v>232</v>
      </c>
      <c r="C14" s="10" t="s">
        <v>233</v>
      </c>
      <c r="D14" s="6" t="s">
        <v>234</v>
      </c>
      <c r="E14" s="10" t="s">
        <v>235</v>
      </c>
      <c r="F14" s="6" t="s">
        <v>227</v>
      </c>
    </row>
    <row r="15" spans="1:6" ht="38.1" customHeight="1">
      <c r="A15" s="8" t="s">
        <v>236</v>
      </c>
      <c r="B15" s="8" t="s">
        <v>237</v>
      </c>
      <c r="C15" s="11" t="s">
        <v>238</v>
      </c>
      <c r="D15" s="8" t="s">
        <v>239</v>
      </c>
      <c r="E15" s="11" t="s">
        <v>240</v>
      </c>
      <c r="F15" s="8" t="s">
        <v>241</v>
      </c>
    </row>
    <row r="16" spans="1:6" ht="38.1" customHeight="1">
      <c r="A16" s="6" t="s">
        <v>236</v>
      </c>
      <c r="B16" s="6" t="s">
        <v>242</v>
      </c>
      <c r="C16" s="10" t="s">
        <v>243</v>
      </c>
      <c r="D16" s="6" t="s">
        <v>244</v>
      </c>
      <c r="E16" s="10" t="s">
        <v>245</v>
      </c>
      <c r="F16" s="6" t="s">
        <v>246</v>
      </c>
    </row>
    <row r="17" spans="1:6" ht="38.1" customHeight="1">
      <c r="A17" s="8" t="s">
        <v>247</v>
      </c>
      <c r="B17" s="8" t="s">
        <v>248</v>
      </c>
      <c r="C17" s="11" t="s">
        <v>249</v>
      </c>
      <c r="D17" s="8" t="s">
        <v>250</v>
      </c>
      <c r="E17" s="11" t="s">
        <v>251</v>
      </c>
      <c r="F17" s="8" t="s">
        <v>252</v>
      </c>
    </row>
    <row r="18" spans="1:6" ht="38.1" customHeight="1">
      <c r="A18" s="6" t="s">
        <v>253</v>
      </c>
      <c r="B18" s="6" t="s">
        <v>254</v>
      </c>
      <c r="C18" s="10" t="s">
        <v>255</v>
      </c>
      <c r="D18" s="6" t="s">
        <v>256</v>
      </c>
      <c r="E18" s="10" t="s">
        <v>257</v>
      </c>
      <c r="F18" s="6" t="s">
        <v>188</v>
      </c>
    </row>
    <row r="19" spans="1:6" ht="38.1" customHeight="1">
      <c r="A19" s="8" t="s">
        <v>253</v>
      </c>
      <c r="B19" s="8" t="s">
        <v>258</v>
      </c>
      <c r="C19" s="11" t="s">
        <v>259</v>
      </c>
      <c r="D19" s="8" t="s">
        <v>260</v>
      </c>
      <c r="E19" s="11" t="s">
        <v>261</v>
      </c>
      <c r="F19" s="8" t="s">
        <v>188</v>
      </c>
    </row>
    <row r="20" spans="1:6" ht="38.1" customHeight="1">
      <c r="A20" s="6" t="s">
        <v>262</v>
      </c>
      <c r="B20" s="6" t="s">
        <v>263</v>
      </c>
      <c r="C20" s="10" t="s">
        <v>264</v>
      </c>
      <c r="D20" s="6" t="s">
        <v>265</v>
      </c>
      <c r="E20" s="10" t="s">
        <v>266</v>
      </c>
      <c r="F20" s="6" t="s">
        <v>267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4" customWidth="1"/>
    <col min="3" max="3" width="30" customWidth="1"/>
    <col min="4" max="4" width="46" customWidth="1"/>
    <col min="5" max="5" width="32" customWidth="1"/>
    <col min="6" max="6" width="14" customWidth="1"/>
  </cols>
  <sheetData>
    <row r="1" spans="1:6" ht="24" customHeight="1">
      <c r="A1" s="41" t="s">
        <v>268</v>
      </c>
      <c r="B1" s="33"/>
      <c r="C1" s="33"/>
      <c r="D1" s="33"/>
      <c r="E1" s="33"/>
      <c r="F1" s="33"/>
    </row>
    <row r="2" spans="1:6" ht="15.95" customHeight="1">
      <c r="A2" s="40" t="s">
        <v>269</v>
      </c>
      <c r="B2" s="33"/>
      <c r="C2" s="33"/>
      <c r="D2" s="33"/>
      <c r="E2" s="33"/>
      <c r="F2" s="33"/>
    </row>
    <row r="3" spans="1:6" ht="24" customHeight="1">
      <c r="A3" s="5" t="s">
        <v>119</v>
      </c>
      <c r="B3" s="5" t="s">
        <v>270</v>
      </c>
      <c r="C3" s="5" t="s">
        <v>271</v>
      </c>
      <c r="D3" s="5" t="s">
        <v>272</v>
      </c>
      <c r="E3" s="5" t="s">
        <v>273</v>
      </c>
      <c r="F3" s="5" t="s">
        <v>274</v>
      </c>
    </row>
    <row r="4" spans="1:6" ht="42" customHeight="1">
      <c r="A4" s="6" t="s">
        <v>275</v>
      </c>
      <c r="B4" s="6" t="s">
        <v>276</v>
      </c>
      <c r="C4" s="10" t="s">
        <v>277</v>
      </c>
      <c r="D4" s="10" t="s">
        <v>278</v>
      </c>
      <c r="E4" s="6" t="s">
        <v>279</v>
      </c>
      <c r="F4" s="6" t="s">
        <v>280</v>
      </c>
    </row>
    <row r="5" spans="1:6" ht="42" customHeight="1">
      <c r="A5" s="8" t="s">
        <v>275</v>
      </c>
      <c r="B5" s="8" t="s">
        <v>281</v>
      </c>
      <c r="C5" s="11" t="s">
        <v>282</v>
      </c>
      <c r="D5" s="11" t="s">
        <v>283</v>
      </c>
      <c r="E5" s="8" t="s">
        <v>284</v>
      </c>
      <c r="F5" s="8" t="s">
        <v>280</v>
      </c>
    </row>
    <row r="6" spans="1:6" ht="42" customHeight="1">
      <c r="A6" s="6" t="s">
        <v>285</v>
      </c>
      <c r="B6" s="6" t="s">
        <v>286</v>
      </c>
      <c r="C6" s="10" t="s">
        <v>287</v>
      </c>
      <c r="D6" s="10" t="s">
        <v>288</v>
      </c>
      <c r="E6" s="6" t="s">
        <v>289</v>
      </c>
      <c r="F6" s="6" t="s">
        <v>290</v>
      </c>
    </row>
    <row r="7" spans="1:6" ht="42" customHeight="1">
      <c r="A7" s="8" t="s">
        <v>285</v>
      </c>
      <c r="B7" s="8" t="s">
        <v>291</v>
      </c>
      <c r="C7" s="11" t="s">
        <v>292</v>
      </c>
      <c r="D7" s="11" t="s">
        <v>293</v>
      </c>
      <c r="E7" s="8" t="s">
        <v>294</v>
      </c>
      <c r="F7" s="8" t="s">
        <v>290</v>
      </c>
    </row>
    <row r="8" spans="1:6" ht="42" customHeight="1">
      <c r="A8" s="6" t="s">
        <v>295</v>
      </c>
      <c r="B8" s="6" t="s">
        <v>296</v>
      </c>
      <c r="C8" s="10" t="s">
        <v>297</v>
      </c>
      <c r="D8" s="10" t="s">
        <v>298</v>
      </c>
      <c r="E8" s="6" t="s">
        <v>299</v>
      </c>
      <c r="F8" s="6" t="s">
        <v>300</v>
      </c>
    </row>
    <row r="9" spans="1:6" ht="42" customHeight="1">
      <c r="A9" s="8" t="s">
        <v>295</v>
      </c>
      <c r="B9" s="8" t="s">
        <v>301</v>
      </c>
      <c r="C9" s="11" t="s">
        <v>302</v>
      </c>
      <c r="D9" s="11" t="s">
        <v>303</v>
      </c>
      <c r="E9" s="8" t="s">
        <v>304</v>
      </c>
      <c r="F9" s="8" t="s">
        <v>305</v>
      </c>
    </row>
    <row r="10" spans="1:6" ht="42" customHeight="1">
      <c r="A10" s="6" t="s">
        <v>306</v>
      </c>
      <c r="B10" s="6" t="s">
        <v>307</v>
      </c>
      <c r="C10" s="10" t="s">
        <v>308</v>
      </c>
      <c r="D10" s="10" t="s">
        <v>309</v>
      </c>
      <c r="E10" s="6" t="s">
        <v>310</v>
      </c>
      <c r="F10" s="6" t="s">
        <v>311</v>
      </c>
    </row>
    <row r="11" spans="1:6" ht="42" customHeight="1">
      <c r="A11" s="8" t="s">
        <v>306</v>
      </c>
      <c r="B11" s="8" t="s">
        <v>312</v>
      </c>
      <c r="C11" s="11" t="s">
        <v>313</v>
      </c>
      <c r="D11" s="11" t="s">
        <v>314</v>
      </c>
      <c r="E11" s="8" t="s">
        <v>315</v>
      </c>
      <c r="F11" s="8" t="s">
        <v>311</v>
      </c>
    </row>
    <row r="12" spans="1:6" ht="42" customHeight="1">
      <c r="A12" s="6" t="s">
        <v>316</v>
      </c>
      <c r="B12" s="6" t="s">
        <v>317</v>
      </c>
      <c r="C12" s="10" t="s">
        <v>318</v>
      </c>
      <c r="D12" s="10" t="s">
        <v>319</v>
      </c>
      <c r="E12" s="6" t="s">
        <v>320</v>
      </c>
      <c r="F12" s="6" t="s">
        <v>321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4" customWidth="1"/>
    <col min="2" max="2" width="22" customWidth="1"/>
    <col min="3" max="3" width="28" customWidth="1"/>
    <col min="4" max="4" width="46" customWidth="1"/>
    <col min="5" max="5" width="34" customWidth="1"/>
    <col min="6" max="6" width="14" customWidth="1"/>
  </cols>
  <sheetData>
    <row r="1" spans="1:6" ht="24" customHeight="1">
      <c r="A1" s="41" t="s">
        <v>322</v>
      </c>
      <c r="B1" s="33"/>
      <c r="C1" s="33"/>
      <c r="D1" s="33"/>
      <c r="E1" s="33"/>
      <c r="F1" s="33"/>
    </row>
    <row r="2" spans="1:6" ht="15.95" customHeight="1">
      <c r="A2" s="40" t="s">
        <v>323</v>
      </c>
      <c r="B2" s="33"/>
      <c r="C2" s="33"/>
      <c r="D2" s="33"/>
      <c r="E2" s="33"/>
      <c r="F2" s="33"/>
    </row>
    <row r="3" spans="1:6" ht="24" customHeight="1">
      <c r="A3" s="5" t="s">
        <v>119</v>
      </c>
      <c r="B3" s="5" t="s">
        <v>324</v>
      </c>
      <c r="C3" s="5" t="s">
        <v>325</v>
      </c>
      <c r="D3" s="5" t="s">
        <v>326</v>
      </c>
      <c r="E3" s="5" t="s">
        <v>327</v>
      </c>
      <c r="F3" s="5" t="s">
        <v>328</v>
      </c>
    </row>
    <row r="4" spans="1:6" ht="42" customHeight="1">
      <c r="A4" s="6" t="s">
        <v>329</v>
      </c>
      <c r="B4" s="6" t="s">
        <v>330</v>
      </c>
      <c r="C4" s="10" t="s">
        <v>331</v>
      </c>
      <c r="D4" s="10" t="s">
        <v>332</v>
      </c>
      <c r="E4" s="6" t="s">
        <v>333</v>
      </c>
      <c r="F4" s="6" t="s">
        <v>334</v>
      </c>
    </row>
    <row r="5" spans="1:6" ht="42" customHeight="1">
      <c r="A5" s="8" t="s">
        <v>335</v>
      </c>
      <c r="B5" s="8" t="s">
        <v>336</v>
      </c>
      <c r="C5" s="11" t="s">
        <v>337</v>
      </c>
      <c r="D5" s="11" t="s">
        <v>338</v>
      </c>
      <c r="E5" s="8" t="s">
        <v>339</v>
      </c>
      <c r="F5" s="8" t="s">
        <v>340</v>
      </c>
    </row>
    <row r="6" spans="1:6" ht="42" customHeight="1">
      <c r="A6" s="6" t="s">
        <v>335</v>
      </c>
      <c r="B6" s="6" t="s">
        <v>341</v>
      </c>
      <c r="C6" s="10" t="s">
        <v>342</v>
      </c>
      <c r="D6" s="10" t="s">
        <v>343</v>
      </c>
      <c r="E6" s="6" t="s">
        <v>344</v>
      </c>
      <c r="F6" s="6" t="s">
        <v>345</v>
      </c>
    </row>
    <row r="7" spans="1:6" ht="42" customHeight="1">
      <c r="A7" s="8" t="s">
        <v>346</v>
      </c>
      <c r="B7" s="8" t="s">
        <v>347</v>
      </c>
      <c r="C7" s="11" t="s">
        <v>348</v>
      </c>
      <c r="D7" s="11" t="s">
        <v>349</v>
      </c>
      <c r="E7" s="8" t="s">
        <v>350</v>
      </c>
      <c r="F7" s="8" t="s">
        <v>334</v>
      </c>
    </row>
    <row r="8" spans="1:6" ht="42" customHeight="1">
      <c r="A8" s="6" t="s">
        <v>351</v>
      </c>
      <c r="B8" s="6" t="s">
        <v>352</v>
      </c>
      <c r="C8" s="10" t="s">
        <v>353</v>
      </c>
      <c r="D8" s="10" t="s">
        <v>354</v>
      </c>
      <c r="E8" s="6" t="s">
        <v>355</v>
      </c>
      <c r="F8" s="6" t="s">
        <v>356</v>
      </c>
    </row>
    <row r="9" spans="1:6" ht="42" customHeight="1">
      <c r="A9" s="8" t="s">
        <v>351</v>
      </c>
      <c r="B9" s="8" t="s">
        <v>357</v>
      </c>
      <c r="C9" s="11" t="s">
        <v>358</v>
      </c>
      <c r="D9" s="11" t="s">
        <v>359</v>
      </c>
      <c r="E9" s="8" t="s">
        <v>360</v>
      </c>
      <c r="F9" s="8" t="s">
        <v>361</v>
      </c>
    </row>
    <row r="10" spans="1:6" ht="42" customHeight="1">
      <c r="A10" s="6" t="s">
        <v>362</v>
      </c>
      <c r="B10" s="6" t="s">
        <v>363</v>
      </c>
      <c r="C10" s="10" t="s">
        <v>364</v>
      </c>
      <c r="D10" s="10" t="s">
        <v>365</v>
      </c>
      <c r="E10" s="6" t="s">
        <v>366</v>
      </c>
      <c r="F10" s="6" t="s">
        <v>367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46" customWidth="1"/>
    <col min="2" max="2" width="16" customWidth="1"/>
    <col min="3" max="3" width="18" customWidth="1"/>
    <col min="4" max="5" width="16" customWidth="1"/>
    <col min="6" max="6" width="18" customWidth="1"/>
    <col min="7" max="7" width="14" customWidth="1"/>
    <col min="8" max="8" width="18" customWidth="1"/>
  </cols>
  <sheetData>
    <row r="1" spans="1:8" ht="24" customHeight="1">
      <c r="A1" s="41" t="s">
        <v>368</v>
      </c>
      <c r="B1" s="33"/>
      <c r="C1" s="33"/>
      <c r="D1" s="33"/>
      <c r="E1" s="33"/>
      <c r="F1" s="33"/>
      <c r="G1" s="33"/>
      <c r="H1" s="33"/>
    </row>
    <row r="2" spans="1:8" ht="15.95" customHeight="1">
      <c r="A2" s="40" t="s">
        <v>369</v>
      </c>
      <c r="B2" s="33"/>
      <c r="C2" s="33"/>
      <c r="D2" s="33"/>
      <c r="E2" s="33"/>
      <c r="F2" s="33"/>
      <c r="G2" s="33"/>
      <c r="H2" s="33"/>
    </row>
    <row r="4" spans="1:8" ht="30" customHeight="1">
      <c r="A4" s="5" t="s">
        <v>370</v>
      </c>
      <c r="B4" s="5" t="s">
        <v>371</v>
      </c>
      <c r="C4" s="5" t="s">
        <v>372</v>
      </c>
      <c r="D4" s="5" t="s">
        <v>373</v>
      </c>
      <c r="E4" s="5" t="s">
        <v>374</v>
      </c>
      <c r="F4" s="5" t="s">
        <v>375</v>
      </c>
      <c r="G4" s="5" t="s">
        <v>376</v>
      </c>
      <c r="H4" s="5" t="s">
        <v>377</v>
      </c>
    </row>
    <row r="5" spans="1:8" ht="21.95" customHeight="1">
      <c r="A5" s="12" t="s">
        <v>378</v>
      </c>
      <c r="B5" s="13">
        <v>250000</v>
      </c>
      <c r="C5" s="14">
        <v>3</v>
      </c>
      <c r="D5" s="15">
        <v>0.8</v>
      </c>
      <c r="E5" s="14">
        <v>6</v>
      </c>
      <c r="F5" s="16">
        <f t="shared" ref="F5:F12" si="0">(B5*C5*D5)/E5</f>
        <v>100000</v>
      </c>
      <c r="G5" s="17">
        <f t="shared" ref="G5:G12" si="1">RANK(F5, $F$5:$F$12)</f>
        <v>1</v>
      </c>
      <c r="H5" s="18" t="s">
        <v>379</v>
      </c>
    </row>
    <row r="6" spans="1:8" ht="21.95" customHeight="1">
      <c r="A6" s="19" t="s">
        <v>380</v>
      </c>
      <c r="B6" s="20">
        <v>400000</v>
      </c>
      <c r="C6" s="21">
        <v>2</v>
      </c>
      <c r="D6" s="22">
        <v>0.9</v>
      </c>
      <c r="E6" s="21">
        <v>8</v>
      </c>
      <c r="F6" s="23">
        <f t="shared" si="0"/>
        <v>90000</v>
      </c>
      <c r="G6" s="24">
        <f t="shared" si="1"/>
        <v>2</v>
      </c>
      <c r="H6" s="18" t="s">
        <v>379</v>
      </c>
    </row>
    <row r="7" spans="1:8" ht="21.95" customHeight="1">
      <c r="A7" s="12" t="s">
        <v>381</v>
      </c>
      <c r="B7" s="13">
        <v>120000</v>
      </c>
      <c r="C7" s="14">
        <v>1</v>
      </c>
      <c r="D7" s="15">
        <v>0.7</v>
      </c>
      <c r="E7" s="14">
        <v>2</v>
      </c>
      <c r="F7" s="16">
        <f t="shared" si="0"/>
        <v>42000</v>
      </c>
      <c r="G7" s="17">
        <f t="shared" si="1"/>
        <v>5</v>
      </c>
      <c r="H7" s="25" t="s">
        <v>382</v>
      </c>
    </row>
    <row r="8" spans="1:8" ht="21.95" customHeight="1">
      <c r="A8" s="19" t="s">
        <v>383</v>
      </c>
      <c r="B8" s="20">
        <v>180000</v>
      </c>
      <c r="C8" s="21">
        <v>1.5</v>
      </c>
      <c r="D8" s="22">
        <v>0.75</v>
      </c>
      <c r="E8" s="21">
        <v>4</v>
      </c>
      <c r="F8" s="23">
        <f t="shared" si="0"/>
        <v>50625</v>
      </c>
      <c r="G8" s="24">
        <f t="shared" si="1"/>
        <v>4</v>
      </c>
      <c r="H8" s="25" t="s">
        <v>382</v>
      </c>
    </row>
    <row r="9" spans="1:8" ht="21.95" customHeight="1">
      <c r="A9" s="12" t="s">
        <v>384</v>
      </c>
      <c r="B9" s="13">
        <v>300000</v>
      </c>
      <c r="C9" s="14">
        <v>1</v>
      </c>
      <c r="D9" s="15">
        <v>0.85</v>
      </c>
      <c r="E9" s="14">
        <v>5</v>
      </c>
      <c r="F9" s="16">
        <f t="shared" si="0"/>
        <v>51000</v>
      </c>
      <c r="G9" s="17">
        <f t="shared" si="1"/>
        <v>3</v>
      </c>
      <c r="H9" s="25" t="s">
        <v>382</v>
      </c>
    </row>
    <row r="10" spans="1:8" ht="21.95" customHeight="1">
      <c r="A10" s="19" t="s">
        <v>385</v>
      </c>
      <c r="B10" s="20">
        <v>80000</v>
      </c>
      <c r="C10" s="21">
        <v>0.5</v>
      </c>
      <c r="D10" s="22">
        <v>0.6</v>
      </c>
      <c r="E10" s="21">
        <v>3</v>
      </c>
      <c r="F10" s="23">
        <f t="shared" si="0"/>
        <v>8000</v>
      </c>
      <c r="G10" s="24">
        <f t="shared" si="1"/>
        <v>8</v>
      </c>
      <c r="H10" s="26" t="s">
        <v>386</v>
      </c>
    </row>
    <row r="11" spans="1:8" ht="21.95" customHeight="1">
      <c r="A11" s="12" t="s">
        <v>387</v>
      </c>
      <c r="B11" s="13">
        <v>45000</v>
      </c>
      <c r="C11" s="14">
        <v>0.5</v>
      </c>
      <c r="D11" s="15">
        <v>0.8</v>
      </c>
      <c r="E11" s="14">
        <v>2</v>
      </c>
      <c r="F11" s="16">
        <f t="shared" si="0"/>
        <v>9000</v>
      </c>
      <c r="G11" s="17">
        <f t="shared" si="1"/>
        <v>6</v>
      </c>
      <c r="H11" s="26" t="s">
        <v>386</v>
      </c>
    </row>
    <row r="12" spans="1:8" ht="21.95" customHeight="1">
      <c r="A12" s="19" t="s">
        <v>388</v>
      </c>
      <c r="B12" s="20">
        <v>60000</v>
      </c>
      <c r="C12" s="21">
        <v>1</v>
      </c>
      <c r="D12" s="22">
        <v>0.65</v>
      </c>
      <c r="E12" s="21">
        <v>4.5</v>
      </c>
      <c r="F12" s="23">
        <f t="shared" si="0"/>
        <v>8666.6666666666661</v>
      </c>
      <c r="G12" s="24">
        <f t="shared" si="1"/>
        <v>7</v>
      </c>
      <c r="H12" s="26" t="s">
        <v>386</v>
      </c>
    </row>
    <row r="13" spans="1:8" ht="24" customHeight="1">
      <c r="A13" s="27" t="s">
        <v>389</v>
      </c>
      <c r="B13" s="28">
        <f>SUM(B5:B12)</f>
        <v>1435000</v>
      </c>
      <c r="C13" s="29">
        <f>AVERAGE(C5:C12)</f>
        <v>1.3125</v>
      </c>
      <c r="D13" s="30">
        <f>AVERAGE(D5:D12)</f>
        <v>0.75624999999999998</v>
      </c>
      <c r="E13" s="29">
        <f>SUM(E5:E12)</f>
        <v>34.5</v>
      </c>
      <c r="F13" s="28">
        <f>AVERAGE(F5:F12)</f>
        <v>44911.458333333336</v>
      </c>
      <c r="G13" s="31" t="s">
        <v>390</v>
      </c>
      <c r="H13" s="31" t="s">
        <v>390</v>
      </c>
    </row>
  </sheetData>
  <mergeCells count="2">
    <mergeCell ref="A2:H2"/>
    <mergeCell ref="A1:H1"/>
  </mergeCells>
  <conditionalFormatting sqref="F5:F12">
    <cfRule type="colorScale" priority="1">
      <colorScale>
        <cfvo type="min" val="0"/>
        <cfvo type="percentile" val="50"/>
        <cfvo type="max" val="0"/>
        <color rgb="FFE0F2FE"/>
        <color rgb="FFBAE6FD"/>
        <color rgb="FF38BDF8"/>
      </colorScale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8"/>
  <sheetViews>
    <sheetView workbookViewId="0">
      <selection sqref="A1:F1"/>
    </sheetView>
  </sheetViews>
  <sheetFormatPr defaultRowHeight="15"/>
  <cols>
    <col min="1" max="2" width="24" customWidth="1"/>
    <col min="3" max="3" width="30" customWidth="1"/>
    <col min="4" max="4" width="34" customWidth="1"/>
    <col min="5" max="5" width="16" customWidth="1"/>
    <col min="6" max="6" width="40" customWidth="1"/>
  </cols>
  <sheetData>
    <row r="1" spans="1:6" ht="24" customHeight="1">
      <c r="A1" s="41" t="s">
        <v>391</v>
      </c>
      <c r="B1" s="33"/>
      <c r="C1" s="33"/>
      <c r="D1" s="33"/>
      <c r="E1" s="33"/>
      <c r="F1" s="33"/>
    </row>
    <row r="2" spans="1:6" ht="15.95" customHeight="1">
      <c r="A2" s="40" t="s">
        <v>392</v>
      </c>
      <c r="B2" s="33"/>
      <c r="C2" s="33"/>
      <c r="D2" s="33"/>
      <c r="E2" s="33"/>
      <c r="F2" s="33"/>
    </row>
    <row r="4" spans="1:6" ht="17.25">
      <c r="A4" s="34" t="s">
        <v>393</v>
      </c>
      <c r="B4" s="33"/>
      <c r="C4" s="33"/>
      <c r="D4" s="33"/>
      <c r="E4" s="33"/>
      <c r="F4" s="33"/>
    </row>
    <row r="5" spans="1:6" ht="21.95" customHeight="1">
      <c r="A5" s="5" t="s">
        <v>394</v>
      </c>
      <c r="B5" s="5" t="s">
        <v>395</v>
      </c>
      <c r="C5" s="5" t="s">
        <v>396</v>
      </c>
      <c r="D5" s="5" t="s">
        <v>397</v>
      </c>
      <c r="E5" s="5" t="s">
        <v>398</v>
      </c>
      <c r="F5" s="5" t="s">
        <v>399</v>
      </c>
    </row>
    <row r="6" spans="1:6" ht="36" customHeight="1">
      <c r="A6" s="6" t="s">
        <v>400</v>
      </c>
      <c r="B6" s="10" t="s">
        <v>401</v>
      </c>
      <c r="C6" s="10" t="s">
        <v>402</v>
      </c>
      <c r="D6" s="10" t="s">
        <v>403</v>
      </c>
      <c r="E6" s="6" t="s">
        <v>404</v>
      </c>
      <c r="F6" s="10" t="s">
        <v>405</v>
      </c>
    </row>
    <row r="7" spans="1:6" ht="36" customHeight="1">
      <c r="A7" s="8" t="s">
        <v>406</v>
      </c>
      <c r="B7" s="11" t="s">
        <v>407</v>
      </c>
      <c r="C7" s="11" t="s">
        <v>408</v>
      </c>
      <c r="D7" s="11" t="s">
        <v>409</v>
      </c>
      <c r="E7" s="8" t="s">
        <v>410</v>
      </c>
      <c r="F7" s="11" t="s">
        <v>411</v>
      </c>
    </row>
    <row r="8" spans="1:6" ht="36" customHeight="1">
      <c r="A8" s="6" t="s">
        <v>412</v>
      </c>
      <c r="B8" s="10" t="s">
        <v>401</v>
      </c>
      <c r="C8" s="10" t="s">
        <v>413</v>
      </c>
      <c r="D8" s="10" t="s">
        <v>414</v>
      </c>
      <c r="E8" s="6" t="s">
        <v>415</v>
      </c>
      <c r="F8" s="10" t="s">
        <v>416</v>
      </c>
    </row>
    <row r="10" spans="1:6" ht="17.25">
      <c r="A10" s="34" t="s">
        <v>417</v>
      </c>
      <c r="B10" s="33"/>
      <c r="C10" s="33"/>
      <c r="D10" s="33"/>
      <c r="E10" s="33"/>
      <c r="F10" s="33"/>
    </row>
    <row r="12" spans="1:6" ht="18" customHeight="1">
      <c r="A12" s="42" t="s">
        <v>418</v>
      </c>
      <c r="B12" s="33"/>
      <c r="C12" s="33"/>
      <c r="D12" s="33"/>
      <c r="E12" s="33"/>
      <c r="F12" s="33"/>
    </row>
    <row r="13" spans="1:6" ht="18" customHeight="1">
      <c r="A13" s="42" t="s">
        <v>419</v>
      </c>
      <c r="B13" s="33"/>
      <c r="C13" s="33"/>
      <c r="D13" s="33"/>
      <c r="E13" s="33"/>
      <c r="F13" s="33"/>
    </row>
    <row r="14" spans="1:6" ht="18" customHeight="1">
      <c r="A14" s="42" t="s">
        <v>420</v>
      </c>
      <c r="B14" s="33"/>
      <c r="C14" s="33"/>
      <c r="D14" s="33"/>
      <c r="E14" s="33"/>
      <c r="F14" s="33"/>
    </row>
    <row r="15" spans="1:6" ht="18" customHeight="1">
      <c r="A15" s="42" t="s">
        <v>421</v>
      </c>
      <c r="B15" s="33"/>
      <c r="C15" s="33"/>
      <c r="D15" s="33"/>
      <c r="E15" s="33"/>
      <c r="F15" s="33"/>
    </row>
    <row r="16" spans="1:6" ht="18" customHeight="1">
      <c r="A16" s="42" t="s">
        <v>422</v>
      </c>
      <c r="B16" s="33"/>
      <c r="C16" s="33"/>
      <c r="D16" s="33"/>
      <c r="E16" s="33"/>
      <c r="F16" s="33"/>
    </row>
    <row r="17" spans="1:6" ht="18" customHeight="1">
      <c r="A17" s="42" t="s">
        <v>423</v>
      </c>
      <c r="B17" s="33"/>
      <c r="C17" s="33"/>
      <c r="D17" s="33"/>
      <c r="E17" s="33"/>
      <c r="F17" s="33"/>
    </row>
    <row r="18" spans="1:6" ht="18" customHeight="1">
      <c r="A18" s="42" t="s">
        <v>424</v>
      </c>
      <c r="B18" s="33"/>
      <c r="C18" s="33"/>
      <c r="D18" s="33"/>
      <c r="E18" s="33"/>
      <c r="F18" s="33"/>
    </row>
    <row r="19" spans="1:6" ht="18" customHeight="1">
      <c r="A19" s="42" t="s">
        <v>425</v>
      </c>
      <c r="B19" s="33"/>
      <c r="C19" s="33"/>
      <c r="D19" s="33"/>
      <c r="E19" s="33"/>
      <c r="F19" s="33"/>
    </row>
    <row r="20" spans="1:6" ht="18" customHeight="1">
      <c r="A20" s="42" t="s">
        <v>426</v>
      </c>
      <c r="B20" s="33"/>
      <c r="C20" s="33"/>
      <c r="D20" s="33"/>
      <c r="E20" s="33"/>
      <c r="F20" s="33"/>
    </row>
    <row r="21" spans="1:6" ht="18" customHeight="1">
      <c r="A21" s="42" t="s">
        <v>427</v>
      </c>
      <c r="B21" s="33"/>
      <c r="C21" s="33"/>
      <c r="D21" s="33"/>
      <c r="E21" s="33"/>
      <c r="F21" s="33"/>
    </row>
    <row r="22" spans="1:6" ht="18" customHeight="1">
      <c r="A22" s="42" t="s">
        <v>428</v>
      </c>
      <c r="B22" s="33"/>
      <c r="C22" s="33"/>
      <c r="D22" s="33"/>
      <c r="E22" s="33"/>
      <c r="F22" s="33"/>
    </row>
    <row r="23" spans="1:6" ht="18" customHeight="1">
      <c r="A23" s="42" t="s">
        <v>429</v>
      </c>
      <c r="B23" s="33"/>
      <c r="C23" s="33"/>
      <c r="D23" s="33"/>
      <c r="E23" s="33"/>
      <c r="F23" s="33"/>
    </row>
    <row r="24" spans="1:6" ht="18" customHeight="1">
      <c r="A24" s="42" t="s">
        <v>430</v>
      </c>
      <c r="B24" s="33"/>
      <c r="C24" s="33"/>
      <c r="D24" s="33"/>
      <c r="E24" s="33"/>
      <c r="F24" s="33"/>
    </row>
    <row r="25" spans="1:6" ht="18" customHeight="1">
      <c r="A25" s="42" t="s">
        <v>431</v>
      </c>
      <c r="B25" s="33"/>
      <c r="C25" s="33"/>
      <c r="D25" s="33"/>
      <c r="E25" s="33"/>
      <c r="F25" s="33"/>
    </row>
    <row r="26" spans="1:6" ht="18" customHeight="1">
      <c r="A26" s="42" t="s">
        <v>432</v>
      </c>
      <c r="B26" s="33"/>
      <c r="C26" s="33"/>
      <c r="D26" s="33"/>
      <c r="E26" s="33"/>
      <c r="F26" s="33"/>
    </row>
    <row r="27" spans="1:6" ht="18" customHeight="1">
      <c r="A27" s="42" t="s">
        <v>433</v>
      </c>
      <c r="B27" s="33"/>
      <c r="C27" s="33"/>
      <c r="D27" s="33"/>
      <c r="E27" s="33"/>
      <c r="F27" s="33"/>
    </row>
    <row r="28" spans="1:6" ht="18" customHeight="1">
      <c r="A28" s="42" t="s">
        <v>434</v>
      </c>
      <c r="B28" s="33"/>
      <c r="C28" s="33"/>
      <c r="D28" s="33"/>
      <c r="E28" s="33"/>
      <c r="F28" s="33"/>
    </row>
    <row r="29" spans="1:6" ht="18" customHeight="1">
      <c r="A29" s="42" t="s">
        <v>435</v>
      </c>
      <c r="B29" s="33"/>
      <c r="C29" s="33"/>
      <c r="D29" s="33"/>
      <c r="E29" s="33"/>
      <c r="F29" s="33"/>
    </row>
    <row r="30" spans="1:6" ht="18" customHeight="1">
      <c r="A30" s="42" t="s">
        <v>436</v>
      </c>
      <c r="B30" s="33"/>
      <c r="C30" s="33"/>
      <c r="D30" s="33"/>
      <c r="E30" s="33"/>
      <c r="F30" s="33"/>
    </row>
    <row r="31" spans="1:6" ht="18" customHeight="1">
      <c r="A31" s="42" t="s">
        <v>437</v>
      </c>
      <c r="B31" s="33"/>
      <c r="C31" s="33"/>
      <c r="D31" s="33"/>
      <c r="E31" s="33"/>
      <c r="F31" s="33"/>
    </row>
    <row r="32" spans="1:6" ht="18" customHeight="1">
      <c r="A32" s="42" t="s">
        <v>438</v>
      </c>
      <c r="B32" s="33"/>
      <c r="C32" s="33"/>
      <c r="D32" s="33"/>
      <c r="E32" s="33"/>
      <c r="F32" s="33"/>
    </row>
    <row r="33" spans="1:6" ht="18" customHeight="1">
      <c r="A33" s="42" t="s">
        <v>439</v>
      </c>
      <c r="B33" s="33"/>
      <c r="C33" s="33"/>
      <c r="D33" s="33"/>
      <c r="E33" s="33"/>
      <c r="F33" s="33"/>
    </row>
    <row r="34" spans="1:6" ht="18" customHeight="1">
      <c r="A34" s="42" t="s">
        <v>440</v>
      </c>
      <c r="B34" s="33"/>
      <c r="C34" s="33"/>
      <c r="D34" s="33"/>
      <c r="E34" s="33"/>
      <c r="F34" s="33"/>
    </row>
    <row r="35" spans="1:6" ht="18" customHeight="1">
      <c r="A35" s="42" t="s">
        <v>441</v>
      </c>
      <c r="B35" s="33"/>
      <c r="C35" s="33"/>
      <c r="D35" s="33"/>
      <c r="E35" s="33"/>
      <c r="F35" s="33"/>
    </row>
    <row r="36" spans="1:6" ht="18" customHeight="1">
      <c r="A36" s="42" t="s">
        <v>442</v>
      </c>
      <c r="B36" s="33"/>
      <c r="C36" s="33"/>
      <c r="D36" s="33"/>
      <c r="E36" s="33"/>
      <c r="F36" s="33"/>
    </row>
    <row r="37" spans="1:6" ht="18" customHeight="1">
      <c r="A37" s="42" t="s">
        <v>443</v>
      </c>
      <c r="B37" s="33"/>
      <c r="C37" s="33"/>
      <c r="D37" s="33"/>
      <c r="E37" s="33"/>
      <c r="F37" s="33"/>
    </row>
    <row r="38" spans="1:6" ht="18" customHeight="1">
      <c r="A38" s="42" t="s">
        <v>444</v>
      </c>
      <c r="B38" s="33"/>
      <c r="C38" s="33"/>
      <c r="D38" s="33"/>
      <c r="E38" s="33"/>
      <c r="F38" s="33"/>
    </row>
  </sheetData>
  <mergeCells count="31">
    <mergeCell ref="A1:F1"/>
    <mergeCell ref="A25:F25"/>
    <mergeCell ref="A38:F38"/>
    <mergeCell ref="A10:F10"/>
    <mergeCell ref="A28:F28"/>
    <mergeCell ref="A13:F13"/>
    <mergeCell ref="A19:F19"/>
    <mergeCell ref="A31:F31"/>
    <mergeCell ref="A34:F34"/>
    <mergeCell ref="A30:F30"/>
    <mergeCell ref="A15:F15"/>
    <mergeCell ref="A24:F24"/>
    <mergeCell ref="A36:F36"/>
    <mergeCell ref="A2:F2"/>
    <mergeCell ref="A33:F33"/>
    <mergeCell ref="A14:F14"/>
    <mergeCell ref="A23:F23"/>
    <mergeCell ref="A32:F32"/>
    <mergeCell ref="A22:F22"/>
    <mergeCell ref="A17:F17"/>
    <mergeCell ref="A4:F4"/>
    <mergeCell ref="A20:F20"/>
    <mergeCell ref="A29:F29"/>
    <mergeCell ref="A16:F16"/>
    <mergeCell ref="A37:F37"/>
    <mergeCell ref="A27:F27"/>
    <mergeCell ref="A12:F12"/>
    <mergeCell ref="A18:F18"/>
    <mergeCell ref="A26:F26"/>
    <mergeCell ref="A21:F21"/>
    <mergeCell ref="A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R4" sqref="R4"/>
    </sheetView>
  </sheetViews>
  <sheetFormatPr defaultRowHeight="15"/>
  <sheetData>
    <row r="1" spans="1:3" ht="17.25">
      <c r="A1" s="43" t="s">
        <v>445</v>
      </c>
    </row>
    <row r="2" spans="1:3" ht="15.75" thickBot="1"/>
    <row r="3" spans="1:3" ht="75.75" thickBot="1">
      <c r="A3" s="44" t="s">
        <v>446</v>
      </c>
      <c r="B3" s="44" t="s">
        <v>447</v>
      </c>
      <c r="C3" s="44" t="s">
        <v>448</v>
      </c>
    </row>
    <row r="4" spans="1:3" ht="357.75" thickBot="1">
      <c r="A4" s="45" t="s">
        <v>449</v>
      </c>
      <c r="B4" s="46" t="s">
        <v>450</v>
      </c>
      <c r="C4" s="46" t="s">
        <v>451</v>
      </c>
    </row>
    <row r="5" spans="1:3" ht="342" thickBot="1">
      <c r="A5" s="45" t="s">
        <v>452</v>
      </c>
      <c r="B5" s="46" t="s">
        <v>453</v>
      </c>
      <c r="C5" s="46" t="s">
        <v>454</v>
      </c>
    </row>
    <row r="6" spans="1:3" ht="386.25" thickBot="1">
      <c r="A6" s="45" t="s">
        <v>455</v>
      </c>
      <c r="B6" s="46" t="s">
        <v>456</v>
      </c>
      <c r="C6" s="46" t="s">
        <v>457</v>
      </c>
    </row>
    <row r="7" spans="1:3" ht="409.6" thickBot="1">
      <c r="A7" s="45" t="s">
        <v>458</v>
      </c>
      <c r="B7" s="46" t="s">
        <v>459</v>
      </c>
      <c r="C7" s="46" t="s">
        <v>460</v>
      </c>
    </row>
    <row r="8" spans="1:3" ht="400.5" thickBot="1">
      <c r="A8" s="45" t="s">
        <v>461</v>
      </c>
      <c r="B8" s="46" t="s">
        <v>462</v>
      </c>
      <c r="C8" s="46" t="s">
        <v>463</v>
      </c>
    </row>
    <row r="9" spans="1:3" ht="311.25" thickBot="1">
      <c r="A9" s="45" t="s">
        <v>464</v>
      </c>
      <c r="B9" s="46" t="s">
        <v>465</v>
      </c>
      <c r="C9" s="46" t="s">
        <v>466</v>
      </c>
    </row>
    <row r="10" spans="1:3" ht="372" thickBot="1">
      <c r="A10" s="45" t="s">
        <v>467</v>
      </c>
      <c r="B10" s="46" t="s">
        <v>468</v>
      </c>
      <c r="C10" s="46" t="s">
        <v>469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38"/>
  <sheetViews>
    <sheetView workbookViewId="0">
      <selection activeCell="P34" sqref="P34"/>
    </sheetView>
  </sheetViews>
  <sheetFormatPr defaultRowHeight="15"/>
  <sheetData>
    <row r="1" spans="1:1" ht="17.25">
      <c r="A1" s="43" t="s">
        <v>470</v>
      </c>
    </row>
    <row r="3" spans="1:1" ht="15.75">
      <c r="A3" s="48" t="s">
        <v>471</v>
      </c>
    </row>
    <row r="5" spans="1:1">
      <c r="A5" s="49" t="s">
        <v>472</v>
      </c>
    </row>
    <row r="6" spans="1:1">
      <c r="A6" s="50"/>
    </row>
    <row r="7" spans="1:1">
      <c r="A7" s="51" t="s">
        <v>473</v>
      </c>
    </row>
    <row r="8" spans="1:1">
      <c r="A8" s="50"/>
    </row>
    <row r="9" spans="1:1">
      <c r="A9" s="51" t="s">
        <v>474</v>
      </c>
    </row>
    <row r="10" spans="1:1">
      <c r="A10" s="50"/>
    </row>
    <row r="11" spans="1:1">
      <c r="A11" s="52"/>
    </row>
    <row r="12" spans="1:1">
      <c r="A12" s="54" t="s">
        <v>475</v>
      </c>
    </row>
    <row r="13" spans="1:1">
      <c r="A13" s="55"/>
    </row>
    <row r="14" spans="1:1">
      <c r="A14" s="54" t="s">
        <v>476</v>
      </c>
    </row>
    <row r="15" spans="1:1">
      <c r="A15" s="50"/>
    </row>
    <row r="16" spans="1:1">
      <c r="A16" s="51" t="s">
        <v>477</v>
      </c>
    </row>
    <row r="17" spans="1:1">
      <c r="A17" s="50"/>
    </row>
    <row r="18" spans="1:1">
      <c r="A18" s="52"/>
    </row>
    <row r="19" spans="1:1">
      <c r="A19" s="57" t="s">
        <v>478</v>
      </c>
    </row>
    <row r="20" spans="1:1">
      <c r="A20" s="55"/>
    </row>
    <row r="21" spans="1:1">
      <c r="A21" s="57" t="s">
        <v>479</v>
      </c>
    </row>
    <row r="22" spans="1:1">
      <c r="A22" s="50"/>
    </row>
    <row r="23" spans="1:1">
      <c r="A23" s="51" t="s">
        <v>480</v>
      </c>
    </row>
    <row r="24" spans="1:1">
      <c r="A24" s="50"/>
    </row>
    <row r="25" spans="1:1">
      <c r="A25" s="52"/>
    </row>
    <row r="26" spans="1:1">
      <c r="A26" s="58" t="s">
        <v>481</v>
      </c>
    </row>
    <row r="27" spans="1:1">
      <c r="A27" s="55"/>
    </row>
    <row r="28" spans="1:1">
      <c r="A28" s="58" t="s">
        <v>482</v>
      </c>
    </row>
    <row r="29" spans="1:1">
      <c r="A29" s="50"/>
    </row>
    <row r="30" spans="1:1">
      <c r="A30" s="51" t="s">
        <v>483</v>
      </c>
    </row>
    <row r="31" spans="1:1">
      <c r="A31" s="50"/>
    </row>
    <row r="32" spans="1:1">
      <c r="A32" s="52"/>
    </row>
    <row r="33" spans="1:7">
      <c r="A33" s="58" t="s">
        <v>484</v>
      </c>
    </row>
    <row r="34" spans="1:7">
      <c r="A34" s="55"/>
    </row>
    <row r="35" spans="1:7">
      <c r="A35" s="58" t="s">
        <v>485</v>
      </c>
    </row>
    <row r="37" spans="1:7" ht="15.75">
      <c r="A37" s="48" t="s">
        <v>486</v>
      </c>
    </row>
    <row r="39" spans="1:7">
      <c r="A39" s="49" t="s">
        <v>487</v>
      </c>
    </row>
    <row r="40" spans="1:7" ht="15.75" thickBot="1"/>
    <row r="41" spans="1:7" ht="45.75" thickBot="1">
      <c r="A41" s="44" t="s">
        <v>488</v>
      </c>
      <c r="B41" s="44" t="s">
        <v>489</v>
      </c>
      <c r="C41" s="44" t="s">
        <v>490</v>
      </c>
      <c r="D41" s="44" t="s">
        <v>491</v>
      </c>
      <c r="E41" s="44" t="s">
        <v>492</v>
      </c>
      <c r="F41" s="44" t="s">
        <v>493</v>
      </c>
      <c r="G41" s="44" t="s">
        <v>494</v>
      </c>
    </row>
    <row r="42" spans="1:7" ht="135.75" thickBot="1">
      <c r="A42" s="44" t="s">
        <v>378</v>
      </c>
      <c r="B42" s="59">
        <v>250000</v>
      </c>
      <c r="C42" s="46" t="s">
        <v>495</v>
      </c>
      <c r="D42" s="60">
        <v>0.8</v>
      </c>
      <c r="E42" s="46">
        <v>6</v>
      </c>
      <c r="F42" s="61">
        <v>100000</v>
      </c>
      <c r="G42" s="44" t="s">
        <v>496</v>
      </c>
    </row>
    <row r="43" spans="1:7" ht="135.75" thickBot="1">
      <c r="A43" s="44" t="s">
        <v>380</v>
      </c>
      <c r="B43" s="59">
        <v>400000</v>
      </c>
      <c r="C43" s="46" t="s">
        <v>497</v>
      </c>
      <c r="D43" s="60">
        <v>0.9</v>
      </c>
      <c r="E43" s="46">
        <v>8</v>
      </c>
      <c r="F43" s="61">
        <v>90000</v>
      </c>
      <c r="G43" s="44" t="s">
        <v>498</v>
      </c>
    </row>
    <row r="44" spans="1:7" ht="150.75" thickBot="1">
      <c r="A44" s="44" t="s">
        <v>381</v>
      </c>
      <c r="B44" s="59">
        <v>120000</v>
      </c>
      <c r="C44" s="46" t="s">
        <v>499</v>
      </c>
      <c r="D44" s="60">
        <v>0.7</v>
      </c>
      <c r="E44" s="46">
        <v>2</v>
      </c>
      <c r="F44" s="61">
        <v>42000</v>
      </c>
      <c r="G44" s="44" t="s">
        <v>500</v>
      </c>
    </row>
    <row r="45" spans="1:7" ht="165.75" thickBot="1">
      <c r="A45" s="44" t="s">
        <v>501</v>
      </c>
      <c r="B45" s="59">
        <v>80000</v>
      </c>
      <c r="C45" s="46" t="s">
        <v>502</v>
      </c>
      <c r="D45" s="60">
        <v>0.6</v>
      </c>
      <c r="E45" s="46">
        <v>3</v>
      </c>
      <c r="F45" s="61">
        <v>8000</v>
      </c>
      <c r="G45" s="44" t="s">
        <v>503</v>
      </c>
    </row>
    <row r="46" spans="1:7">
      <c r="A46" s="51" t="s">
        <v>504</v>
      </c>
    </row>
    <row r="47" spans="1:7">
      <c r="A47" s="50"/>
    </row>
    <row r="48" spans="1:7">
      <c r="A48" s="52"/>
    </row>
    <row r="49" spans="1:1">
      <c r="A49" s="58" t="s">
        <v>505</v>
      </c>
    </row>
    <row r="50" spans="1:1">
      <c r="A50" s="55"/>
    </row>
    <row r="51" spans="1:1">
      <c r="A51" s="58" t="s">
        <v>506</v>
      </c>
    </row>
    <row r="52" spans="1:1">
      <c r="A52" s="55"/>
    </row>
    <row r="53" spans="1:1">
      <c r="A53" s="58" t="s">
        <v>507</v>
      </c>
    </row>
    <row r="55" spans="1:1" ht="15.75">
      <c r="A55" s="48" t="s">
        <v>508</v>
      </c>
    </row>
    <row r="57" spans="1:1">
      <c r="A57" s="49" t="s">
        <v>509</v>
      </c>
    </row>
    <row r="58" spans="1:1">
      <c r="A58" s="50"/>
    </row>
    <row r="59" spans="1:1">
      <c r="A59" s="51" t="s">
        <v>510</v>
      </c>
    </row>
    <row r="60" spans="1:1">
      <c r="A60" s="50"/>
    </row>
    <row r="61" spans="1:1">
      <c r="A61" s="52"/>
    </row>
    <row r="62" spans="1:1">
      <c r="A62" s="54" t="s">
        <v>511</v>
      </c>
    </row>
    <row r="63" spans="1:1">
      <c r="A63" s="55"/>
    </row>
    <row r="64" spans="1:1">
      <c r="A64" s="54" t="s">
        <v>512</v>
      </c>
    </row>
    <row r="65" spans="1:1">
      <c r="A65" s="55"/>
    </row>
    <row r="66" spans="1:1">
      <c r="A66" s="54" t="s">
        <v>513</v>
      </c>
    </row>
    <row r="67" spans="1:1">
      <c r="A67" s="50"/>
    </row>
    <row r="68" spans="1:1">
      <c r="A68" s="51" t="s">
        <v>514</v>
      </c>
    </row>
    <row r="69" spans="1:1">
      <c r="A69" s="50"/>
    </row>
    <row r="70" spans="1:1">
      <c r="A70" s="52"/>
    </row>
    <row r="71" spans="1:1">
      <c r="A71" s="54" t="s">
        <v>515</v>
      </c>
    </row>
    <row r="72" spans="1:1">
      <c r="A72" s="50"/>
    </row>
    <row r="73" spans="1:1">
      <c r="A73" s="51" t="s">
        <v>516</v>
      </c>
    </row>
    <row r="75" spans="1:1" ht="15.75">
      <c r="A75" s="48" t="s">
        <v>517</v>
      </c>
    </row>
    <row r="77" spans="1:1">
      <c r="A77" s="49" t="s">
        <v>518</v>
      </c>
    </row>
    <row r="78" spans="1:1">
      <c r="A78" s="50"/>
    </row>
    <row r="79" spans="1:1">
      <c r="A79" s="51" t="s">
        <v>519</v>
      </c>
    </row>
    <row r="80" spans="1:1">
      <c r="A80" s="50"/>
    </row>
    <row r="81" spans="1:1">
      <c r="A81" s="52"/>
    </row>
    <row r="82" spans="1:1">
      <c r="A82" s="62" t="s">
        <v>520</v>
      </c>
    </row>
    <row r="83" spans="1:1">
      <c r="A83" s="55"/>
    </row>
    <row r="84" spans="1:1">
      <c r="A84" s="62" t="s">
        <v>521</v>
      </c>
    </row>
    <row r="85" spans="1:1">
      <c r="A85" s="50"/>
    </row>
    <row r="86" spans="1:1">
      <c r="A86" s="51" t="s">
        <v>522</v>
      </c>
    </row>
    <row r="87" spans="1:1">
      <c r="A87" s="50"/>
    </row>
    <row r="88" spans="1:1">
      <c r="A88" s="52"/>
    </row>
    <row r="89" spans="1:1">
      <c r="A89" s="62" t="s">
        <v>523</v>
      </c>
    </row>
    <row r="90" spans="1:1">
      <c r="A90" s="55"/>
    </row>
    <row r="91" spans="1:1">
      <c r="A91" s="62" t="s">
        <v>524</v>
      </c>
    </row>
    <row r="92" spans="1:1">
      <c r="A92" s="50"/>
    </row>
    <row r="93" spans="1:1">
      <c r="A93" s="51" t="s">
        <v>525</v>
      </c>
    </row>
    <row r="94" spans="1:1">
      <c r="A94" s="50"/>
    </row>
    <row r="95" spans="1:1">
      <c r="A95" s="52"/>
    </row>
    <row r="96" spans="1:1">
      <c r="A96" s="62" t="s">
        <v>526</v>
      </c>
    </row>
    <row r="97" spans="1:1">
      <c r="A97" s="55"/>
    </row>
    <row r="98" spans="1:1">
      <c r="A98" s="62" t="s">
        <v>527</v>
      </c>
    </row>
    <row r="99" spans="1:1">
      <c r="A99" s="50"/>
    </row>
    <row r="100" spans="1:1">
      <c r="A100" s="51" t="s">
        <v>528</v>
      </c>
    </row>
    <row r="101" spans="1:1">
      <c r="A101" s="50"/>
    </row>
    <row r="102" spans="1:1">
      <c r="A102" s="52"/>
    </row>
    <row r="103" spans="1:1">
      <c r="A103" s="62" t="s">
        <v>529</v>
      </c>
    </row>
    <row r="105" spans="1:1" ht="15.75">
      <c r="A105" s="48" t="s">
        <v>530</v>
      </c>
    </row>
    <row r="107" spans="1:1">
      <c r="A107" s="49" t="s">
        <v>531</v>
      </c>
    </row>
    <row r="108" spans="1:1">
      <c r="A108" s="50"/>
    </row>
    <row r="109" spans="1:1">
      <c r="A109" s="51" t="s">
        <v>532</v>
      </c>
    </row>
    <row r="110" spans="1:1">
      <c r="A110" s="50"/>
    </row>
    <row r="111" spans="1:1">
      <c r="A111" s="51" t="s">
        <v>533</v>
      </c>
    </row>
    <row r="112" spans="1:1">
      <c r="A112" s="50"/>
    </row>
    <row r="113" spans="1:1">
      <c r="A113" s="52"/>
    </row>
    <row r="114" spans="1:1">
      <c r="A114" s="54" t="s">
        <v>534</v>
      </c>
    </row>
    <row r="115" spans="1:1">
      <c r="A115" s="55"/>
    </row>
    <row r="116" spans="1:1">
      <c r="A116" s="54" t="s">
        <v>535</v>
      </c>
    </row>
    <row r="117" spans="1:1">
      <c r="A117" s="55"/>
    </row>
    <row r="118" spans="1:1">
      <c r="A118" s="54" t="s">
        <v>536</v>
      </c>
    </row>
    <row r="119" spans="1:1">
      <c r="A119" s="50"/>
    </row>
    <row r="120" spans="1:1">
      <c r="A120" s="51" t="s">
        <v>537</v>
      </c>
    </row>
    <row r="122" spans="1:1" ht="15.75">
      <c r="A122" s="48" t="s">
        <v>538</v>
      </c>
    </row>
    <row r="124" spans="1:1">
      <c r="A124" s="49" t="s">
        <v>539</v>
      </c>
    </row>
    <row r="126" spans="1:1">
      <c r="A126" s="56" t="s">
        <v>540</v>
      </c>
    </row>
    <row r="127" spans="1:1">
      <c r="A127" s="56" t="s">
        <v>541</v>
      </c>
    </row>
    <row r="128" spans="1:1">
      <c r="A128" s="56" t="s">
        <v>542</v>
      </c>
    </row>
    <row r="129" spans="1:1">
      <c r="A129" s="56" t="s">
        <v>543</v>
      </c>
    </row>
    <row r="130" spans="1:1">
      <c r="A130" s="56" t="s">
        <v>544</v>
      </c>
    </row>
    <row r="131" spans="1:1">
      <c r="A131" s="56" t="s">
        <v>545</v>
      </c>
    </row>
    <row r="132" spans="1:1">
      <c r="A132" s="56" t="s">
        <v>546</v>
      </c>
    </row>
    <row r="133" spans="1:1">
      <c r="A133" s="56" t="s">
        <v>547</v>
      </c>
    </row>
    <row r="134" spans="1:1">
      <c r="A134" s="56" t="s">
        <v>548</v>
      </c>
    </row>
    <row r="135" spans="1:1">
      <c r="A135" s="56" t="s">
        <v>549</v>
      </c>
    </row>
    <row r="136" spans="1:1">
      <c r="A136" s="50"/>
    </row>
    <row r="137" spans="1:1">
      <c r="A137" s="51" t="s">
        <v>550</v>
      </c>
    </row>
    <row r="138" spans="1:1">
      <c r="A138" s="50"/>
    </row>
    <row r="139" spans="1:1">
      <c r="A139" s="52"/>
    </row>
    <row r="140" spans="1:1">
      <c r="A140" s="57" t="s">
        <v>551</v>
      </c>
    </row>
    <row r="142" spans="1:1" ht="15.75">
      <c r="A142" s="48" t="s">
        <v>552</v>
      </c>
    </row>
    <row r="144" spans="1:1">
      <c r="A144" s="53" t="s">
        <v>553</v>
      </c>
    </row>
    <row r="146" spans="1:1">
      <c r="A146" s="53" t="s">
        <v>554</v>
      </c>
    </row>
    <row r="147" spans="1:1">
      <c r="A147" s="50"/>
    </row>
    <row r="148" spans="1:1">
      <c r="A148" s="51" t="s">
        <v>555</v>
      </c>
    </row>
    <row r="149" spans="1:1">
      <c r="A149" s="55"/>
    </row>
    <row r="150" spans="1:1">
      <c r="A150" s="58" t="s">
        <v>556</v>
      </c>
    </row>
    <row r="151" spans="1:1">
      <c r="A151" s="55"/>
    </row>
    <row r="152" spans="1:1">
      <c r="A152" s="58" t="s">
        <v>557</v>
      </c>
    </row>
    <row r="153" spans="1:1">
      <c r="A153" s="55"/>
    </row>
    <row r="154" spans="1:1">
      <c r="A154" s="58" t="s">
        <v>558</v>
      </c>
    </row>
    <row r="156" spans="1:1" ht="17.25">
      <c r="A156" s="43" t="s">
        <v>559</v>
      </c>
    </row>
    <row r="158" spans="1:1" ht="15.75">
      <c r="A158" s="48" t="s">
        <v>560</v>
      </c>
    </row>
    <row r="160" spans="1:1">
      <c r="A160" s="49" t="s">
        <v>561</v>
      </c>
    </row>
    <row r="161" spans="1:1">
      <c r="A161" s="50"/>
    </row>
    <row r="162" spans="1:1">
      <c r="A162" s="51" t="s">
        <v>562</v>
      </c>
    </row>
    <row r="163" spans="1:1">
      <c r="A163" s="50"/>
    </row>
    <row r="164" spans="1:1">
      <c r="A164" s="51" t="s">
        <v>563</v>
      </c>
    </row>
    <row r="165" spans="1:1">
      <c r="A165" s="50"/>
    </row>
    <row r="166" spans="1:1">
      <c r="A166" s="51" t="s">
        <v>564</v>
      </c>
    </row>
    <row r="167" spans="1:1">
      <c r="A167" s="50"/>
    </row>
    <row r="168" spans="1:1">
      <c r="A168" s="52"/>
    </row>
    <row r="169" spans="1:1">
      <c r="A169" s="54" t="s">
        <v>565</v>
      </c>
    </row>
    <row r="170" spans="1:1">
      <c r="A170" s="55"/>
    </row>
    <row r="171" spans="1:1">
      <c r="A171" s="54" t="s">
        <v>566</v>
      </c>
    </row>
    <row r="172" spans="1:1">
      <c r="A172" s="55"/>
    </row>
    <row r="173" spans="1:1">
      <c r="A173" s="54" t="s">
        <v>567</v>
      </c>
    </row>
    <row r="175" spans="1:1" ht="15.75">
      <c r="A175" s="48" t="s">
        <v>568</v>
      </c>
    </row>
    <row r="177" spans="1:1">
      <c r="A177" s="49" t="s">
        <v>569</v>
      </c>
    </row>
    <row r="178" spans="1:1">
      <c r="A178" s="50"/>
    </row>
    <row r="179" spans="1:1">
      <c r="A179" s="51" t="s">
        <v>570</v>
      </c>
    </row>
    <row r="180" spans="1:1">
      <c r="A180" s="50"/>
    </row>
    <row r="181" spans="1:1">
      <c r="A181" s="51" t="s">
        <v>571</v>
      </c>
    </row>
    <row r="182" spans="1:1">
      <c r="A182" s="50"/>
    </row>
    <row r="183" spans="1:1">
      <c r="A183" s="52"/>
    </row>
    <row r="184" spans="1:1">
      <c r="A184" s="58" t="s">
        <v>572</v>
      </c>
    </row>
    <row r="185" spans="1:1">
      <c r="A185" s="55"/>
    </row>
    <row r="186" spans="1:1">
      <c r="A186" s="58" t="s">
        <v>573</v>
      </c>
    </row>
    <row r="187" spans="1:1">
      <c r="A187" s="50"/>
    </row>
    <row r="188" spans="1:1">
      <c r="A188" s="51" t="s">
        <v>574</v>
      </c>
    </row>
    <row r="189" spans="1:1">
      <c r="A189" s="50"/>
    </row>
    <row r="190" spans="1:1">
      <c r="A190" s="52"/>
    </row>
    <row r="191" spans="1:1">
      <c r="A191" s="54" t="s">
        <v>575</v>
      </c>
    </row>
    <row r="192" spans="1:1">
      <c r="A192" s="55"/>
    </row>
    <row r="193" spans="1:1">
      <c r="A193" s="54" t="s">
        <v>576</v>
      </c>
    </row>
    <row r="195" spans="1:1" ht="15.75">
      <c r="A195" s="48" t="s">
        <v>577</v>
      </c>
    </row>
    <row r="197" spans="1:1">
      <c r="A197" s="49" t="s">
        <v>578</v>
      </c>
    </row>
    <row r="198" spans="1:1">
      <c r="A198" s="50"/>
    </row>
    <row r="199" spans="1:1">
      <c r="A199" s="51" t="s">
        <v>579</v>
      </c>
    </row>
    <row r="200" spans="1:1">
      <c r="A200" s="50"/>
    </row>
    <row r="201" spans="1:1">
      <c r="A201" s="52"/>
    </row>
    <row r="202" spans="1:1">
      <c r="A202" s="58" t="s">
        <v>580</v>
      </c>
    </row>
    <row r="203" spans="1:1">
      <c r="A203" s="55"/>
    </row>
    <row r="204" spans="1:1">
      <c r="A204" s="58" t="s">
        <v>581</v>
      </c>
    </row>
    <row r="205" spans="1:1">
      <c r="A205" s="55"/>
    </row>
    <row r="206" spans="1:1">
      <c r="A206" s="58" t="s">
        <v>582</v>
      </c>
    </row>
    <row r="207" spans="1:1">
      <c r="A207" s="55"/>
    </row>
    <row r="208" spans="1:1">
      <c r="A208" s="58" t="s">
        <v>583</v>
      </c>
    </row>
    <row r="209" spans="1:1">
      <c r="A209" s="50"/>
    </row>
    <row r="210" spans="1:1">
      <c r="A210" s="51" t="s">
        <v>584</v>
      </c>
    </row>
    <row r="212" spans="1:1" ht="15.75">
      <c r="A212" s="48" t="s">
        <v>585</v>
      </c>
    </row>
    <row r="214" spans="1:1">
      <c r="A214" s="49" t="s">
        <v>586</v>
      </c>
    </row>
    <row r="216" spans="1:1">
      <c r="A216" s="56" t="s">
        <v>587</v>
      </c>
    </row>
    <row r="217" spans="1:1">
      <c r="A217" s="56" t="s">
        <v>588</v>
      </c>
    </row>
    <row r="218" spans="1:1">
      <c r="A218" s="56" t="s">
        <v>589</v>
      </c>
    </row>
    <row r="219" spans="1:1">
      <c r="A219" s="56" t="s">
        <v>590</v>
      </c>
    </row>
    <row r="220" spans="1:1">
      <c r="A220" s="56" t="s">
        <v>591</v>
      </c>
    </row>
    <row r="221" spans="1:1">
      <c r="A221" s="56" t="s">
        <v>589</v>
      </c>
    </row>
    <row r="222" spans="1:1">
      <c r="A222" s="56" t="s">
        <v>592</v>
      </c>
    </row>
    <row r="223" spans="1:1">
      <c r="A223" s="56" t="s">
        <v>593</v>
      </c>
    </row>
    <row r="224" spans="1:1">
      <c r="A224" s="56" t="s">
        <v>588</v>
      </c>
    </row>
    <row r="225" spans="1:1">
      <c r="A225" s="56" t="s">
        <v>594</v>
      </c>
    </row>
    <row r="226" spans="1:1">
      <c r="A226" s="56" t="s">
        <v>595</v>
      </c>
    </row>
    <row r="227" spans="1:1">
      <c r="A227" s="56" t="s">
        <v>596</v>
      </c>
    </row>
    <row r="228" spans="1:1">
      <c r="A228" s="56" t="s">
        <v>597</v>
      </c>
    </row>
    <row r="229" spans="1:1">
      <c r="A229" s="56" t="s">
        <v>595</v>
      </c>
    </row>
    <row r="230" spans="1:1">
      <c r="A230" s="56" t="s">
        <v>598</v>
      </c>
    </row>
    <row r="231" spans="1:1">
      <c r="A231" s="50"/>
    </row>
    <row r="232" spans="1:1">
      <c r="A232" s="51" t="s">
        <v>599</v>
      </c>
    </row>
    <row r="234" spans="1:1">
      <c r="A234" s="47" t="s">
        <v>600</v>
      </c>
    </row>
    <row r="235" spans="1:1">
      <c r="A235" s="56" t="s">
        <v>418</v>
      </c>
    </row>
    <row r="236" spans="1:1">
      <c r="A236" s="56" t="s">
        <v>601</v>
      </c>
    </row>
    <row r="237" spans="1:1">
      <c r="A237" s="56" t="s">
        <v>602</v>
      </c>
    </row>
    <row r="238" spans="1:1">
      <c r="A238" s="56" t="s">
        <v>603</v>
      </c>
    </row>
    <row r="239" spans="1:1">
      <c r="A239" s="56" t="s">
        <v>604</v>
      </c>
    </row>
    <row r="240" spans="1:1">
      <c r="A240" s="56" t="s">
        <v>605</v>
      </c>
    </row>
    <row r="241" spans="1:1">
      <c r="A241" s="56" t="s">
        <v>606</v>
      </c>
    </row>
    <row r="242" spans="1:1">
      <c r="A242" s="56" t="s">
        <v>607</v>
      </c>
    </row>
    <row r="243" spans="1:1">
      <c r="A243" s="56" t="s">
        <v>608</v>
      </c>
    </row>
    <row r="244" spans="1:1">
      <c r="A244" s="56" t="s">
        <v>609</v>
      </c>
    </row>
    <row r="245" spans="1:1">
      <c r="A245" s="56" t="s">
        <v>610</v>
      </c>
    </row>
    <row r="246" spans="1:1">
      <c r="A246" s="56" t="s">
        <v>611</v>
      </c>
    </row>
    <row r="247" spans="1:1">
      <c r="A247" s="56" t="s">
        <v>441</v>
      </c>
    </row>
    <row r="248" spans="1:1">
      <c r="A248" s="56" t="s">
        <v>612</v>
      </c>
    </row>
    <row r="249" spans="1:1">
      <c r="A249" s="56" t="s">
        <v>444</v>
      </c>
    </row>
    <row r="251" spans="1:1" ht="15.75">
      <c r="A251" s="48" t="s">
        <v>613</v>
      </c>
    </row>
    <row r="253" spans="1:1">
      <c r="A253" s="49" t="s">
        <v>614</v>
      </c>
    </row>
    <row r="254" spans="1:1">
      <c r="A254" s="50"/>
    </row>
    <row r="255" spans="1:1">
      <c r="A255" s="51" t="s">
        <v>615</v>
      </c>
    </row>
    <row r="256" spans="1:1">
      <c r="A256" s="50"/>
    </row>
    <row r="257" spans="1:1">
      <c r="A257" s="51" t="s">
        <v>616</v>
      </c>
    </row>
    <row r="258" spans="1:1">
      <c r="A258" s="50"/>
    </row>
    <row r="259" spans="1:1">
      <c r="A259" s="51" t="s">
        <v>617</v>
      </c>
    </row>
    <row r="260" spans="1:1">
      <c r="A260" s="50"/>
    </row>
    <row r="261" spans="1:1">
      <c r="A261" s="51" t="s">
        <v>618</v>
      </c>
    </row>
    <row r="262" spans="1:1">
      <c r="A262" s="50"/>
    </row>
    <row r="263" spans="1:1">
      <c r="A263" s="51" t="s">
        <v>619</v>
      </c>
    </row>
    <row r="265" spans="1:1" ht="17.25">
      <c r="A265" s="43" t="s">
        <v>620</v>
      </c>
    </row>
    <row r="267" spans="1:1" ht="15.75">
      <c r="A267" s="48" t="s">
        <v>621</v>
      </c>
    </row>
    <row r="269" spans="1:1">
      <c r="A269" s="49" t="s">
        <v>622</v>
      </c>
    </row>
    <row r="270" spans="1:1">
      <c r="A270" s="50"/>
    </row>
    <row r="271" spans="1:1">
      <c r="A271" s="51" t="s">
        <v>623</v>
      </c>
    </row>
    <row r="272" spans="1:1">
      <c r="A272" s="50"/>
    </row>
    <row r="273" spans="1:4">
      <c r="A273" s="51" t="s">
        <v>624</v>
      </c>
    </row>
    <row r="274" spans="1:4">
      <c r="A274" s="50"/>
    </row>
    <row r="275" spans="1:4">
      <c r="A275" s="51" t="s">
        <v>625</v>
      </c>
    </row>
    <row r="276" spans="1:4">
      <c r="A276" s="50"/>
    </row>
    <row r="277" spans="1:4">
      <c r="A277" s="51" t="s">
        <v>626</v>
      </c>
    </row>
    <row r="279" spans="1:4" ht="15.75">
      <c r="A279" s="48" t="s">
        <v>627</v>
      </c>
    </row>
    <row r="281" spans="1:4">
      <c r="A281" s="49" t="s">
        <v>628</v>
      </c>
    </row>
    <row r="282" spans="1:4" ht="15.75" thickBot="1"/>
    <row r="283" spans="1:4" ht="75.75" thickBot="1">
      <c r="A283" s="44" t="s">
        <v>629</v>
      </c>
      <c r="B283" s="44" t="s">
        <v>630</v>
      </c>
      <c r="C283" s="44" t="s">
        <v>631</v>
      </c>
      <c r="D283" s="44" t="s">
        <v>632</v>
      </c>
    </row>
    <row r="284" spans="1:4" ht="101.25" thickBot="1">
      <c r="A284" s="44" t="s">
        <v>633</v>
      </c>
      <c r="B284" s="46" t="s">
        <v>634</v>
      </c>
      <c r="C284" s="46" t="s">
        <v>635</v>
      </c>
      <c r="D284" s="46" t="s">
        <v>636</v>
      </c>
    </row>
    <row r="285" spans="1:4" ht="101.25" thickBot="1">
      <c r="A285" s="44" t="s">
        <v>637</v>
      </c>
      <c r="B285" s="46" t="s">
        <v>638</v>
      </c>
      <c r="C285" s="46" t="s">
        <v>639</v>
      </c>
      <c r="D285" s="46" t="s">
        <v>640</v>
      </c>
    </row>
    <row r="286" spans="1:4" ht="101.25" thickBot="1">
      <c r="A286" s="44" t="s">
        <v>641</v>
      </c>
      <c r="B286" s="46" t="s">
        <v>642</v>
      </c>
      <c r="C286" s="46" t="s">
        <v>643</v>
      </c>
      <c r="D286" s="46" t="s">
        <v>644</v>
      </c>
    </row>
    <row r="287" spans="1:4" ht="115.5" thickBot="1">
      <c r="A287" s="44" t="s">
        <v>645</v>
      </c>
      <c r="B287" s="46" t="s">
        <v>646</v>
      </c>
      <c r="C287" s="46" t="s">
        <v>647</v>
      </c>
      <c r="D287" s="46" t="s">
        <v>648</v>
      </c>
    </row>
    <row r="288" spans="1:4" ht="15.75">
      <c r="A288" s="48" t="s">
        <v>649</v>
      </c>
    </row>
    <row r="290" spans="1:1">
      <c r="A290" s="49" t="s">
        <v>650</v>
      </c>
    </row>
    <row r="291" spans="1:1">
      <c r="A291" s="50"/>
    </row>
    <row r="292" spans="1:1">
      <c r="A292" s="51" t="s">
        <v>651</v>
      </c>
    </row>
    <row r="293" spans="1:1">
      <c r="A293" s="50"/>
    </row>
    <row r="294" spans="1:1">
      <c r="A294" s="51" t="s">
        <v>652</v>
      </c>
    </row>
    <row r="295" spans="1:1">
      <c r="A295" s="50"/>
    </row>
    <row r="296" spans="1:1">
      <c r="A296" s="51" t="s">
        <v>653</v>
      </c>
    </row>
    <row r="298" spans="1:1" ht="15.75">
      <c r="A298" s="48" t="s">
        <v>654</v>
      </c>
    </row>
    <row r="300" spans="1:1">
      <c r="A300" s="49" t="s">
        <v>655</v>
      </c>
    </row>
    <row r="302" spans="1:1">
      <c r="A302" s="56" t="s">
        <v>656</v>
      </c>
    </row>
    <row r="303" spans="1:1">
      <c r="A303" s="56" t="s">
        <v>657</v>
      </c>
    </row>
    <row r="304" spans="1:1">
      <c r="A304" s="56" t="s">
        <v>658</v>
      </c>
    </row>
    <row r="305" spans="1:1">
      <c r="A305" s="56" t="s">
        <v>657</v>
      </c>
    </row>
    <row r="306" spans="1:1">
      <c r="A306" s="56" t="s">
        <v>659</v>
      </c>
    </row>
    <row r="307" spans="1:1">
      <c r="A307" s="56" t="s">
        <v>660</v>
      </c>
    </row>
    <row r="308" spans="1:1">
      <c r="A308" s="56" t="s">
        <v>661</v>
      </c>
    </row>
    <row r="309" spans="1:1">
      <c r="A309" s="56" t="s">
        <v>662</v>
      </c>
    </row>
    <row r="310" spans="1:1">
      <c r="A310" s="56" t="s">
        <v>663</v>
      </c>
    </row>
    <row r="311" spans="1:1">
      <c r="A311" s="56" t="s">
        <v>664</v>
      </c>
    </row>
    <row r="312" spans="1:1">
      <c r="A312" s="56" t="s">
        <v>665</v>
      </c>
    </row>
    <row r="313" spans="1:1">
      <c r="A313" s="50"/>
    </row>
    <row r="314" spans="1:1">
      <c r="A314" s="51" t="s">
        <v>666</v>
      </c>
    </row>
    <row r="315" spans="1:1">
      <c r="A315" s="50"/>
    </row>
    <row r="316" spans="1:1">
      <c r="A316" s="52"/>
    </row>
    <row r="317" spans="1:1">
      <c r="A317" s="62" t="s">
        <v>667</v>
      </c>
    </row>
    <row r="318" spans="1:1">
      <c r="A318" s="55"/>
    </row>
    <row r="319" spans="1:1">
      <c r="A319" s="62" t="s">
        <v>668</v>
      </c>
    </row>
    <row r="320" spans="1:1">
      <c r="A320" s="50"/>
    </row>
    <row r="321" spans="1:1">
      <c r="A321" s="51" t="s">
        <v>669</v>
      </c>
    </row>
    <row r="323" spans="1:1" ht="15.75">
      <c r="A323" s="48" t="s">
        <v>670</v>
      </c>
    </row>
    <row r="325" spans="1:1">
      <c r="A325" s="49" t="s">
        <v>671</v>
      </c>
    </row>
    <row r="326" spans="1:1">
      <c r="A326" s="50"/>
    </row>
    <row r="327" spans="1:1">
      <c r="A327" s="51" t="s">
        <v>672</v>
      </c>
    </row>
    <row r="328" spans="1:1">
      <c r="A328" s="50"/>
    </row>
    <row r="329" spans="1:1">
      <c r="A329" s="51" t="s">
        <v>673</v>
      </c>
    </row>
    <row r="330" spans="1:1">
      <c r="A330" s="50"/>
    </row>
    <row r="331" spans="1:1">
      <c r="A331" s="52"/>
    </row>
    <row r="332" spans="1:1">
      <c r="A332" s="58" t="s">
        <v>674</v>
      </c>
    </row>
    <row r="333" spans="1:1">
      <c r="A333" s="55"/>
    </row>
    <row r="334" spans="1:1">
      <c r="A334" s="58" t="s">
        <v>675</v>
      </c>
    </row>
    <row r="335" spans="1:1">
      <c r="A335" s="55"/>
    </row>
    <row r="336" spans="1:1">
      <c r="A336" s="58" t="s">
        <v>676</v>
      </c>
    </row>
    <row r="337" spans="1:1">
      <c r="A337" s="55"/>
    </row>
    <row r="338" spans="1:1">
      <c r="A338" s="58" t="s">
        <v>677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306"/>
  <sheetViews>
    <sheetView tabSelected="1" topLeftCell="A58" workbookViewId="0">
      <selection activeCell="B56" sqref="B56"/>
    </sheetView>
  </sheetViews>
  <sheetFormatPr defaultRowHeight="15"/>
  <cols>
    <col min="1" max="1" width="59.42578125" customWidth="1"/>
    <col min="2" max="2" width="53.140625" customWidth="1"/>
    <col min="3" max="3" width="57.85546875" customWidth="1"/>
    <col min="4" max="4" width="70.85546875" customWidth="1"/>
  </cols>
  <sheetData>
    <row r="1" spans="1:4" ht="17.25">
      <c r="A1" s="43" t="s">
        <v>678</v>
      </c>
    </row>
    <row r="2" spans="1:4" ht="15.75" thickBot="1"/>
    <row r="3" spans="1:4" ht="90.75" thickBot="1">
      <c r="A3" s="44" t="s">
        <v>24</v>
      </c>
      <c r="B3" s="44" t="s">
        <v>119</v>
      </c>
      <c r="C3" s="44" t="s">
        <v>679</v>
      </c>
      <c r="D3" s="44" t="s">
        <v>680</v>
      </c>
    </row>
    <row r="4" spans="1:4" ht="144" thickBot="1">
      <c r="A4" s="44" t="s">
        <v>31</v>
      </c>
      <c r="B4" s="46" t="s">
        <v>32</v>
      </c>
      <c r="C4" s="63" t="s">
        <v>33</v>
      </c>
      <c r="D4" s="46" t="s">
        <v>681</v>
      </c>
    </row>
    <row r="5" spans="1:4" ht="144" thickBot="1">
      <c r="A5" s="46"/>
      <c r="B5" s="46" t="s">
        <v>38</v>
      </c>
      <c r="C5" s="63" t="s">
        <v>39</v>
      </c>
      <c r="D5" s="46" t="s">
        <v>682</v>
      </c>
    </row>
    <row r="6" spans="1:4" ht="129.75" thickBot="1">
      <c r="A6" s="46"/>
      <c r="B6" s="46" t="s">
        <v>42</v>
      </c>
      <c r="C6" s="63" t="s">
        <v>43</v>
      </c>
      <c r="D6" s="46" t="s">
        <v>683</v>
      </c>
    </row>
    <row r="7" spans="1:4" ht="144" thickBot="1">
      <c r="A7" s="46"/>
      <c r="B7" s="46" t="s">
        <v>47</v>
      </c>
      <c r="C7" s="63" t="s">
        <v>48</v>
      </c>
      <c r="D7" s="46" t="s">
        <v>684</v>
      </c>
    </row>
    <row r="8" spans="1:4" ht="144" thickBot="1">
      <c r="A8" s="46"/>
      <c r="B8" s="46" t="s">
        <v>53</v>
      </c>
      <c r="C8" s="63" t="s">
        <v>54</v>
      </c>
      <c r="D8" s="46" t="s">
        <v>685</v>
      </c>
    </row>
    <row r="9" spans="1:4" ht="158.25" thickBot="1">
      <c r="A9" s="46"/>
      <c r="B9" s="46" t="s">
        <v>57</v>
      </c>
      <c r="C9" s="63" t="s">
        <v>58</v>
      </c>
      <c r="D9" s="46" t="s">
        <v>686</v>
      </c>
    </row>
    <row r="10" spans="1:4" ht="144" thickBot="1">
      <c r="A10" s="46"/>
      <c r="B10" s="46" t="s">
        <v>62</v>
      </c>
      <c r="C10" s="63" t="s">
        <v>63</v>
      </c>
      <c r="D10" s="46" t="s">
        <v>687</v>
      </c>
    </row>
    <row r="11" spans="1:4" ht="158.25" thickBot="1">
      <c r="A11" s="44" t="s">
        <v>67</v>
      </c>
      <c r="B11" s="46" t="s">
        <v>68</v>
      </c>
      <c r="C11" s="63" t="s">
        <v>69</v>
      </c>
      <c r="D11" s="46" t="s">
        <v>688</v>
      </c>
    </row>
    <row r="12" spans="1:4" ht="158.25" thickBot="1">
      <c r="A12" s="46"/>
      <c r="B12" s="46" t="s">
        <v>72</v>
      </c>
      <c r="C12" s="63" t="s">
        <v>73</v>
      </c>
      <c r="D12" s="46" t="s">
        <v>689</v>
      </c>
    </row>
    <row r="13" spans="1:4" ht="129.75" thickBot="1">
      <c r="A13" s="46"/>
      <c r="B13" s="46" t="s">
        <v>77</v>
      </c>
      <c r="C13" s="63" t="s">
        <v>78</v>
      </c>
      <c r="D13" s="46" t="s">
        <v>690</v>
      </c>
    </row>
    <row r="14" spans="1:4" ht="158.25" thickBot="1">
      <c r="A14" s="46"/>
      <c r="B14" s="46" t="s">
        <v>82</v>
      </c>
      <c r="C14" s="63" t="s">
        <v>83</v>
      </c>
      <c r="D14" s="46" t="s">
        <v>691</v>
      </c>
    </row>
    <row r="15" spans="1:4" ht="144" thickBot="1">
      <c r="A15" s="46"/>
      <c r="B15" s="46" t="s">
        <v>86</v>
      </c>
      <c r="C15" s="63" t="s">
        <v>87</v>
      </c>
      <c r="D15" s="46" t="s">
        <v>692</v>
      </c>
    </row>
    <row r="16" spans="1:4" ht="129.75" thickBot="1">
      <c r="A16" s="44" t="s">
        <v>90</v>
      </c>
      <c r="B16" s="46" t="s">
        <v>91</v>
      </c>
      <c r="C16" s="63" t="s">
        <v>92</v>
      </c>
      <c r="D16" s="46" t="s">
        <v>693</v>
      </c>
    </row>
    <row r="17" spans="1:4" ht="144" thickBot="1">
      <c r="A17" s="46"/>
      <c r="B17" s="46" t="s">
        <v>96</v>
      </c>
      <c r="C17" s="63" t="s">
        <v>97</v>
      </c>
      <c r="D17" s="46" t="s">
        <v>694</v>
      </c>
    </row>
    <row r="18" spans="1:4" ht="158.25" thickBot="1">
      <c r="A18" s="46"/>
      <c r="B18" s="46" t="s">
        <v>101</v>
      </c>
      <c r="C18" s="63" t="s">
        <v>102</v>
      </c>
      <c r="D18" s="46" t="s">
        <v>695</v>
      </c>
    </row>
    <row r="19" spans="1:4" ht="129.75" thickBot="1">
      <c r="A19" s="46"/>
      <c r="B19" s="46" t="s">
        <v>105</v>
      </c>
      <c r="C19" s="63" t="s">
        <v>106</v>
      </c>
      <c r="D19" s="46" t="s">
        <v>696</v>
      </c>
    </row>
    <row r="20" spans="1:4" ht="158.25" thickBot="1">
      <c r="A20" s="46"/>
      <c r="B20" s="46" t="s">
        <v>110</v>
      </c>
      <c r="C20" s="63" t="s">
        <v>111</v>
      </c>
      <c r="D20" s="46" t="s">
        <v>697</v>
      </c>
    </row>
    <row r="21" spans="1:4" ht="17.25">
      <c r="A21" s="43" t="s">
        <v>470</v>
      </c>
    </row>
    <row r="23" spans="1:4">
      <c r="A23" s="47" t="s">
        <v>698</v>
      </c>
    </row>
    <row r="25" spans="1:4" ht="15.75">
      <c r="A25" s="48" t="s">
        <v>471</v>
      </c>
    </row>
    <row r="26" spans="1:4">
      <c r="A26" s="50"/>
    </row>
    <row r="27" spans="1:4">
      <c r="A27" s="51" t="s">
        <v>699</v>
      </c>
    </row>
    <row r="28" spans="1:4">
      <c r="A28" s="50"/>
    </row>
    <row r="29" spans="1:4">
      <c r="A29" s="51" t="s">
        <v>700</v>
      </c>
    </row>
    <row r="30" spans="1:4">
      <c r="A30" s="50"/>
    </row>
    <row r="31" spans="1:4">
      <c r="A31" s="52"/>
    </row>
    <row r="32" spans="1:4">
      <c r="A32" s="62" t="s">
        <v>701</v>
      </c>
    </row>
    <row r="33" spans="1:1">
      <c r="A33" s="50"/>
    </row>
    <row r="34" spans="1:1">
      <c r="A34" s="51" t="s">
        <v>702</v>
      </c>
    </row>
    <row r="35" spans="1:1">
      <c r="A35" s="50"/>
    </row>
    <row r="36" spans="1:1">
      <c r="A36" s="52"/>
    </row>
    <row r="37" spans="1:1">
      <c r="A37" s="58" t="s">
        <v>703</v>
      </c>
    </row>
    <row r="38" spans="1:1">
      <c r="A38" s="55"/>
    </row>
    <row r="39" spans="1:1">
      <c r="A39" s="58" t="s">
        <v>704</v>
      </c>
    </row>
    <row r="40" spans="1:1">
      <c r="A40" s="55"/>
    </row>
    <row r="41" spans="1:1">
      <c r="A41" s="58" t="s">
        <v>705</v>
      </c>
    </row>
    <row r="42" spans="1:1">
      <c r="A42" s="55"/>
    </row>
    <row r="43" spans="1:1">
      <c r="A43" s="58" t="s">
        <v>706</v>
      </c>
    </row>
    <row r="45" spans="1:1" ht="15.75">
      <c r="A45" s="48" t="s">
        <v>486</v>
      </c>
    </row>
    <row r="46" spans="1:1">
      <c r="A46" s="50"/>
    </row>
    <row r="47" spans="1:1">
      <c r="A47" s="51" t="s">
        <v>707</v>
      </c>
    </row>
    <row r="48" spans="1:1">
      <c r="A48" s="50"/>
    </row>
    <row r="49" spans="1:1">
      <c r="A49" s="51" t="s">
        <v>700</v>
      </c>
    </row>
    <row r="50" spans="1:1">
      <c r="A50" s="50"/>
    </row>
    <row r="51" spans="1:1">
      <c r="A51" s="52"/>
    </row>
    <row r="52" spans="1:1">
      <c r="A52" s="58" t="s">
        <v>708</v>
      </c>
    </row>
    <row r="53" spans="1:1">
      <c r="A53" s="55"/>
    </row>
    <row r="54" spans="1:1">
      <c r="A54" s="58" t="s">
        <v>709</v>
      </c>
    </row>
    <row r="55" spans="1:1">
      <c r="A55" s="50"/>
    </row>
    <row r="56" spans="1:1">
      <c r="A56" s="51" t="s">
        <v>702</v>
      </c>
    </row>
    <row r="57" spans="1:1">
      <c r="A57" s="50"/>
    </row>
    <row r="58" spans="1:1">
      <c r="A58" s="52"/>
    </row>
    <row r="59" spans="1:1">
      <c r="A59" s="62" t="s">
        <v>710</v>
      </c>
    </row>
    <row r="60" spans="1:1">
      <c r="A60" s="55"/>
    </row>
    <row r="61" spans="1:1">
      <c r="A61" s="62" t="s">
        <v>711</v>
      </c>
    </row>
    <row r="62" spans="1:1">
      <c r="A62" s="55"/>
    </row>
    <row r="63" spans="1:1">
      <c r="A63" s="62" t="s">
        <v>712</v>
      </c>
    </row>
    <row r="65" spans="1:1" ht="15.75">
      <c r="A65" s="48" t="s">
        <v>508</v>
      </c>
    </row>
    <row r="66" spans="1:1">
      <c r="A66" s="50"/>
    </row>
    <row r="67" spans="1:1">
      <c r="A67" s="51" t="s">
        <v>713</v>
      </c>
    </row>
    <row r="68" spans="1:1">
      <c r="A68" s="50"/>
    </row>
    <row r="69" spans="1:1">
      <c r="A69" s="51" t="s">
        <v>700</v>
      </c>
    </row>
    <row r="70" spans="1:1">
      <c r="A70" s="50"/>
    </row>
    <row r="71" spans="1:1">
      <c r="A71" s="52"/>
    </row>
    <row r="72" spans="1:1">
      <c r="A72" s="62" t="s">
        <v>714</v>
      </c>
    </row>
    <row r="73" spans="1:1">
      <c r="A73" s="50"/>
    </row>
    <row r="74" spans="1:1">
      <c r="A74" s="51" t="s">
        <v>702</v>
      </c>
    </row>
    <row r="75" spans="1:1">
      <c r="A75" s="50"/>
    </row>
    <row r="76" spans="1:1">
      <c r="A76" s="52"/>
    </row>
    <row r="77" spans="1:1">
      <c r="A77" s="62" t="s">
        <v>715</v>
      </c>
    </row>
    <row r="78" spans="1:1">
      <c r="A78" s="55"/>
    </row>
    <row r="79" spans="1:1">
      <c r="A79" s="62" t="s">
        <v>716</v>
      </c>
    </row>
    <row r="80" spans="1:1">
      <c r="A80" s="55"/>
    </row>
    <row r="81" spans="1:1">
      <c r="A81" s="62" t="s">
        <v>717</v>
      </c>
    </row>
    <row r="83" spans="1:1" ht="15.75">
      <c r="A83" s="48" t="s">
        <v>517</v>
      </c>
    </row>
    <row r="84" spans="1:1">
      <c r="A84" s="50"/>
    </row>
    <row r="85" spans="1:1">
      <c r="A85" s="51" t="s">
        <v>718</v>
      </c>
    </row>
    <row r="86" spans="1:1">
      <c r="A86" s="50"/>
    </row>
    <row r="87" spans="1:1">
      <c r="A87" s="51" t="s">
        <v>700</v>
      </c>
    </row>
    <row r="88" spans="1:1">
      <c r="A88" s="50"/>
    </row>
    <row r="89" spans="1:1">
      <c r="A89" s="52"/>
    </row>
    <row r="90" spans="1:1">
      <c r="A90" s="62" t="s">
        <v>719</v>
      </c>
    </row>
    <row r="91" spans="1:1">
      <c r="A91" s="50"/>
    </row>
    <row r="92" spans="1:1">
      <c r="A92" s="51" t="s">
        <v>702</v>
      </c>
    </row>
    <row r="93" spans="1:1">
      <c r="A93" s="50"/>
    </row>
    <row r="94" spans="1:1">
      <c r="A94" s="52"/>
    </row>
    <row r="95" spans="1:1">
      <c r="A95" s="62" t="s">
        <v>720</v>
      </c>
    </row>
    <row r="96" spans="1:1">
      <c r="A96" s="55"/>
    </row>
    <row r="97" spans="1:1">
      <c r="A97" s="62" t="s">
        <v>721</v>
      </c>
    </row>
    <row r="98" spans="1:1">
      <c r="A98" s="55"/>
    </row>
    <row r="99" spans="1:1">
      <c r="A99" s="62" t="s">
        <v>722</v>
      </c>
    </row>
    <row r="101" spans="1:1" ht="15.75">
      <c r="A101" s="48" t="s">
        <v>530</v>
      </c>
    </row>
    <row r="102" spans="1:1">
      <c r="A102" s="50"/>
    </row>
    <row r="103" spans="1:1">
      <c r="A103" s="51" t="s">
        <v>723</v>
      </c>
    </row>
    <row r="104" spans="1:1">
      <c r="A104" s="50"/>
    </row>
    <row r="105" spans="1:1">
      <c r="A105" s="51" t="s">
        <v>700</v>
      </c>
    </row>
    <row r="106" spans="1:1">
      <c r="A106" s="50"/>
    </row>
    <row r="107" spans="1:1">
      <c r="A107" s="52"/>
    </row>
    <row r="108" spans="1:1">
      <c r="A108" s="58" t="s">
        <v>724</v>
      </c>
    </row>
    <row r="109" spans="1:1">
      <c r="A109" s="50"/>
    </row>
    <row r="110" spans="1:1">
      <c r="A110" s="51" t="s">
        <v>702</v>
      </c>
    </row>
    <row r="111" spans="1:1">
      <c r="A111" s="50"/>
    </row>
    <row r="112" spans="1:1">
      <c r="A112" s="52"/>
    </row>
    <row r="113" spans="1:1">
      <c r="A113" s="62" t="s">
        <v>725</v>
      </c>
    </row>
    <row r="115" spans="1:1" ht="15.75">
      <c r="A115" s="48" t="s">
        <v>538</v>
      </c>
    </row>
    <row r="116" spans="1:1">
      <c r="A116" s="50"/>
    </row>
    <row r="117" spans="1:1">
      <c r="A117" s="51" t="s">
        <v>726</v>
      </c>
    </row>
    <row r="118" spans="1:1">
      <c r="A118" s="50"/>
    </row>
    <row r="119" spans="1:1">
      <c r="A119" s="51" t="s">
        <v>700</v>
      </c>
    </row>
    <row r="120" spans="1:1">
      <c r="A120" s="50"/>
    </row>
    <row r="121" spans="1:1">
      <c r="A121" s="52"/>
    </row>
    <row r="122" spans="1:1">
      <c r="A122" s="62" t="s">
        <v>727</v>
      </c>
    </row>
    <row r="123" spans="1:1">
      <c r="A123" s="50"/>
    </row>
    <row r="124" spans="1:1">
      <c r="A124" s="51" t="s">
        <v>702</v>
      </c>
    </row>
    <row r="125" spans="1:1">
      <c r="A125" s="50"/>
    </row>
    <row r="126" spans="1:1">
      <c r="A126" s="52"/>
    </row>
    <row r="127" spans="1:1">
      <c r="A127" s="62" t="s">
        <v>728</v>
      </c>
    </row>
    <row r="128" spans="1:1">
      <c r="A128" s="55"/>
    </row>
    <row r="129" spans="1:1">
      <c r="A129" s="62" t="s">
        <v>729</v>
      </c>
    </row>
    <row r="130" spans="1:1">
      <c r="A130" s="55"/>
    </row>
    <row r="131" spans="1:1">
      <c r="A131" s="62" t="s">
        <v>730</v>
      </c>
    </row>
    <row r="133" spans="1:1" ht="15.75">
      <c r="A133" s="48" t="s">
        <v>552</v>
      </c>
    </row>
    <row r="134" spans="1:1">
      <c r="A134" s="50"/>
    </row>
    <row r="135" spans="1:1">
      <c r="A135" s="51" t="s">
        <v>731</v>
      </c>
    </row>
    <row r="136" spans="1:1">
      <c r="A136" s="50"/>
    </row>
    <row r="137" spans="1:1">
      <c r="A137" s="51" t="s">
        <v>700</v>
      </c>
    </row>
    <row r="138" spans="1:1">
      <c r="A138" s="50"/>
    </row>
    <row r="139" spans="1:1">
      <c r="A139" s="52"/>
    </row>
    <row r="140" spans="1:1">
      <c r="A140" s="62" t="s">
        <v>732</v>
      </c>
    </row>
    <row r="141" spans="1:1">
      <c r="A141" s="50"/>
    </row>
    <row r="142" spans="1:1">
      <c r="A142" s="51" t="s">
        <v>702</v>
      </c>
    </row>
    <row r="143" spans="1:1">
      <c r="A143" s="50"/>
    </row>
    <row r="144" spans="1:1">
      <c r="A144" s="52"/>
    </row>
    <row r="145" spans="1:1">
      <c r="A145" s="62" t="s">
        <v>733</v>
      </c>
    </row>
    <row r="147" spans="1:1" ht="17.25">
      <c r="A147" s="43" t="s">
        <v>559</v>
      </c>
    </row>
    <row r="149" spans="1:1">
      <c r="A149" s="47" t="s">
        <v>734</v>
      </c>
    </row>
    <row r="151" spans="1:1" ht="15.75">
      <c r="A151" s="48" t="s">
        <v>560</v>
      </c>
    </row>
    <row r="152" spans="1:1">
      <c r="A152" s="50"/>
    </row>
    <row r="153" spans="1:1">
      <c r="A153" s="51" t="s">
        <v>735</v>
      </c>
    </row>
    <row r="154" spans="1:1">
      <c r="A154" s="50"/>
    </row>
    <row r="155" spans="1:1">
      <c r="A155" s="51" t="s">
        <v>700</v>
      </c>
    </row>
    <row r="156" spans="1:1">
      <c r="A156" s="50"/>
    </row>
    <row r="157" spans="1:1">
      <c r="A157" s="52"/>
    </row>
    <row r="158" spans="1:1">
      <c r="A158" s="62" t="s">
        <v>736</v>
      </c>
    </row>
    <row r="159" spans="1:1">
      <c r="A159" s="50"/>
    </row>
    <row r="160" spans="1:1">
      <c r="A160" s="51" t="s">
        <v>702</v>
      </c>
    </row>
    <row r="161" spans="1:1">
      <c r="A161" s="50"/>
    </row>
    <row r="162" spans="1:1">
      <c r="A162" s="52"/>
    </row>
    <row r="163" spans="1:1">
      <c r="A163" s="62" t="s">
        <v>737</v>
      </c>
    </row>
    <row r="165" spans="1:1" ht="15.75">
      <c r="A165" s="48" t="s">
        <v>568</v>
      </c>
    </row>
    <row r="166" spans="1:1">
      <c r="A166" s="50"/>
    </row>
    <row r="167" spans="1:1">
      <c r="A167" s="51" t="s">
        <v>738</v>
      </c>
    </row>
    <row r="168" spans="1:1">
      <c r="A168" s="50"/>
    </row>
    <row r="169" spans="1:1">
      <c r="A169" s="51" t="s">
        <v>700</v>
      </c>
    </row>
    <row r="170" spans="1:1">
      <c r="A170" s="50"/>
    </row>
    <row r="171" spans="1:1">
      <c r="A171" s="52"/>
    </row>
    <row r="172" spans="1:1">
      <c r="A172" s="62" t="s">
        <v>739</v>
      </c>
    </row>
    <row r="173" spans="1:1">
      <c r="A173" s="50"/>
    </row>
    <row r="174" spans="1:1">
      <c r="A174" s="51" t="s">
        <v>702</v>
      </c>
    </row>
    <row r="175" spans="1:1">
      <c r="A175" s="50"/>
    </row>
    <row r="176" spans="1:1">
      <c r="A176" s="52"/>
    </row>
    <row r="177" spans="1:1">
      <c r="A177" s="62" t="s">
        <v>740</v>
      </c>
    </row>
    <row r="179" spans="1:1" ht="15.75">
      <c r="A179" s="48" t="s">
        <v>577</v>
      </c>
    </row>
    <row r="180" spans="1:1">
      <c r="A180" s="50"/>
    </row>
    <row r="181" spans="1:1">
      <c r="A181" s="51" t="s">
        <v>741</v>
      </c>
    </row>
    <row r="182" spans="1:1">
      <c r="A182" s="50"/>
    </row>
    <row r="183" spans="1:1">
      <c r="A183" s="51" t="s">
        <v>700</v>
      </c>
    </row>
    <row r="184" spans="1:1">
      <c r="A184" s="50"/>
    </row>
    <row r="185" spans="1:1">
      <c r="A185" s="52"/>
    </row>
    <row r="186" spans="1:1">
      <c r="A186" s="58" t="s">
        <v>742</v>
      </c>
    </row>
    <row r="187" spans="1:1">
      <c r="A187" s="55"/>
    </row>
    <row r="188" spans="1:1">
      <c r="A188" s="58" t="s">
        <v>743</v>
      </c>
    </row>
    <row r="189" spans="1:1">
      <c r="A189" s="50"/>
    </row>
    <row r="190" spans="1:1">
      <c r="A190" s="51" t="s">
        <v>702</v>
      </c>
    </row>
    <row r="191" spans="1:1">
      <c r="A191" s="50"/>
    </row>
    <row r="192" spans="1:1">
      <c r="A192" s="52"/>
    </row>
    <row r="193" spans="1:1">
      <c r="A193" s="62" t="s">
        <v>744</v>
      </c>
    </row>
    <row r="195" spans="1:1" ht="15.75">
      <c r="A195" s="48" t="s">
        <v>585</v>
      </c>
    </row>
    <row r="196" spans="1:1">
      <c r="A196" s="50"/>
    </row>
    <row r="197" spans="1:1">
      <c r="A197" s="51" t="s">
        <v>745</v>
      </c>
    </row>
    <row r="198" spans="1:1">
      <c r="A198" s="50"/>
    </row>
    <row r="199" spans="1:1">
      <c r="A199" s="51" t="s">
        <v>700</v>
      </c>
    </row>
    <row r="200" spans="1:1">
      <c r="A200" s="50"/>
    </row>
    <row r="201" spans="1:1">
      <c r="A201" s="52"/>
    </row>
    <row r="202" spans="1:1">
      <c r="A202" s="62" t="s">
        <v>746</v>
      </c>
    </row>
    <row r="203" spans="1:1">
      <c r="A203" s="50"/>
    </row>
    <row r="204" spans="1:1">
      <c r="A204" s="51" t="s">
        <v>702</v>
      </c>
    </row>
    <row r="205" spans="1:1">
      <c r="A205" s="50"/>
    </row>
    <row r="206" spans="1:1">
      <c r="A206" s="52"/>
    </row>
    <row r="207" spans="1:1">
      <c r="A207" s="62" t="s">
        <v>747</v>
      </c>
    </row>
    <row r="209" spans="1:1" ht="15.75">
      <c r="A209" s="48" t="s">
        <v>613</v>
      </c>
    </row>
    <row r="210" spans="1:1">
      <c r="A210" s="50"/>
    </row>
    <row r="211" spans="1:1">
      <c r="A211" s="51" t="s">
        <v>748</v>
      </c>
    </row>
    <row r="212" spans="1:1">
      <c r="A212" s="50"/>
    </row>
    <row r="213" spans="1:1">
      <c r="A213" s="51" t="s">
        <v>700</v>
      </c>
    </row>
    <row r="214" spans="1:1">
      <c r="A214" s="50"/>
    </row>
    <row r="215" spans="1:1">
      <c r="A215" s="52"/>
    </row>
    <row r="216" spans="1:1">
      <c r="A216" s="58" t="s">
        <v>749</v>
      </c>
    </row>
    <row r="217" spans="1:1">
      <c r="A217" s="55"/>
    </row>
    <row r="218" spans="1:1">
      <c r="A218" s="62"/>
    </row>
    <row r="219" spans="1:1">
      <c r="A219" s="64" t="s">
        <v>750</v>
      </c>
    </row>
    <row r="220" spans="1:1">
      <c r="A220" s="65"/>
    </row>
    <row r="221" spans="1:1">
      <c r="A221" s="64" t="s">
        <v>751</v>
      </c>
    </row>
    <row r="222" spans="1:1">
      <c r="A222" s="65"/>
    </row>
    <row r="223" spans="1:1">
      <c r="A223" s="64" t="s">
        <v>752</v>
      </c>
    </row>
    <row r="224" spans="1:1">
      <c r="A224" s="65"/>
    </row>
    <row r="225" spans="1:1">
      <c r="A225" s="64" t="s">
        <v>753</v>
      </c>
    </row>
    <row r="226" spans="1:1">
      <c r="A226" s="65"/>
    </row>
    <row r="227" spans="1:1">
      <c r="A227" s="64" t="s">
        <v>754</v>
      </c>
    </row>
    <row r="228" spans="1:1">
      <c r="A228" s="50"/>
    </row>
    <row r="229" spans="1:1">
      <c r="A229" s="51" t="s">
        <v>702</v>
      </c>
    </row>
    <row r="230" spans="1:1">
      <c r="A230" s="50"/>
    </row>
    <row r="231" spans="1:1">
      <c r="A231" s="52"/>
    </row>
    <row r="232" spans="1:1">
      <c r="A232" s="62" t="s">
        <v>755</v>
      </c>
    </row>
    <row r="234" spans="1:1" ht="17.25">
      <c r="A234" s="43" t="s">
        <v>756</v>
      </c>
    </row>
    <row r="236" spans="1:1">
      <c r="A236" s="47" t="s">
        <v>757</v>
      </c>
    </row>
    <row r="238" spans="1:1" ht="15.75">
      <c r="A238" s="48" t="s">
        <v>621</v>
      </c>
    </row>
    <row r="239" spans="1:1">
      <c r="A239" s="50"/>
    </row>
    <row r="240" spans="1:1">
      <c r="A240" s="51" t="s">
        <v>758</v>
      </c>
    </row>
    <row r="241" spans="1:1">
      <c r="A241" s="50"/>
    </row>
    <row r="242" spans="1:1">
      <c r="A242" s="51" t="s">
        <v>700</v>
      </c>
    </row>
    <row r="243" spans="1:1">
      <c r="A243" s="50"/>
    </row>
    <row r="244" spans="1:1">
      <c r="A244" s="52"/>
    </row>
    <row r="245" spans="1:1">
      <c r="A245" s="62" t="s">
        <v>759</v>
      </c>
    </row>
    <row r="246" spans="1:1">
      <c r="A246" s="50"/>
    </row>
    <row r="247" spans="1:1">
      <c r="A247" s="51" t="s">
        <v>702</v>
      </c>
    </row>
    <row r="248" spans="1:1">
      <c r="A248" s="50"/>
    </row>
    <row r="249" spans="1:1">
      <c r="A249" s="52"/>
    </row>
    <row r="250" spans="1:1">
      <c r="A250" s="62" t="s">
        <v>760</v>
      </c>
    </row>
    <row r="252" spans="1:1" ht="15.75">
      <c r="A252" s="48" t="s">
        <v>627</v>
      </c>
    </row>
    <row r="253" spans="1:1">
      <c r="A253" s="50"/>
    </row>
    <row r="254" spans="1:1">
      <c r="A254" s="51" t="s">
        <v>761</v>
      </c>
    </row>
    <row r="255" spans="1:1">
      <c r="A255" s="50"/>
    </row>
    <row r="256" spans="1:1">
      <c r="A256" s="51" t="s">
        <v>700</v>
      </c>
    </row>
    <row r="257" spans="1:1">
      <c r="A257" s="50"/>
    </row>
    <row r="258" spans="1:1">
      <c r="A258" s="52"/>
    </row>
    <row r="259" spans="1:1">
      <c r="A259" s="62" t="s">
        <v>762</v>
      </c>
    </row>
    <row r="260" spans="1:1">
      <c r="A260" s="50"/>
    </row>
    <row r="261" spans="1:1">
      <c r="A261" s="51" t="s">
        <v>702</v>
      </c>
    </row>
    <row r="262" spans="1:1">
      <c r="A262" s="50"/>
    </row>
    <row r="263" spans="1:1">
      <c r="A263" s="52"/>
    </row>
    <row r="264" spans="1:1">
      <c r="A264" s="62" t="s">
        <v>763</v>
      </c>
    </row>
    <row r="266" spans="1:1" ht="15.75">
      <c r="A266" s="48" t="s">
        <v>649</v>
      </c>
    </row>
    <row r="267" spans="1:1">
      <c r="A267" s="50"/>
    </row>
    <row r="268" spans="1:1">
      <c r="A268" s="51" t="s">
        <v>764</v>
      </c>
    </row>
    <row r="269" spans="1:1">
      <c r="A269" s="50"/>
    </row>
    <row r="270" spans="1:1">
      <c r="A270" s="51" t="s">
        <v>700</v>
      </c>
    </row>
    <row r="271" spans="1:1">
      <c r="A271" s="50"/>
    </row>
    <row r="272" spans="1:1">
      <c r="A272" s="52"/>
    </row>
    <row r="273" spans="1:1">
      <c r="A273" s="62" t="s">
        <v>765</v>
      </c>
    </row>
    <row r="274" spans="1:1">
      <c r="A274" s="50"/>
    </row>
    <row r="275" spans="1:1">
      <c r="A275" s="51" t="s">
        <v>702</v>
      </c>
    </row>
    <row r="276" spans="1:1">
      <c r="A276" s="50"/>
    </row>
    <row r="277" spans="1:1">
      <c r="A277" s="52"/>
    </row>
    <row r="278" spans="1:1">
      <c r="A278" s="62" t="s">
        <v>766</v>
      </c>
    </row>
    <row r="280" spans="1:1" ht="15.75">
      <c r="A280" s="48" t="s">
        <v>654</v>
      </c>
    </row>
    <row r="281" spans="1:1">
      <c r="A281" s="50"/>
    </row>
    <row r="282" spans="1:1">
      <c r="A282" s="51" t="s">
        <v>767</v>
      </c>
    </row>
    <row r="283" spans="1:1">
      <c r="A283" s="50"/>
    </row>
    <row r="284" spans="1:1">
      <c r="A284" s="51" t="s">
        <v>700</v>
      </c>
    </row>
    <row r="285" spans="1:1">
      <c r="A285" s="50"/>
    </row>
    <row r="286" spans="1:1">
      <c r="A286" s="52"/>
    </row>
    <row r="287" spans="1:1">
      <c r="A287" s="62" t="s">
        <v>768</v>
      </c>
    </row>
    <row r="288" spans="1:1">
      <c r="A288" s="50"/>
    </row>
    <row r="289" spans="1:1">
      <c r="A289" s="51" t="s">
        <v>702</v>
      </c>
    </row>
    <row r="290" spans="1:1">
      <c r="A290" s="50"/>
    </row>
    <row r="291" spans="1:1">
      <c r="A291" s="52"/>
    </row>
    <row r="292" spans="1:1">
      <c r="A292" s="62" t="s">
        <v>769</v>
      </c>
    </row>
    <row r="294" spans="1:1" ht="15.75">
      <c r="A294" s="48" t="s">
        <v>670</v>
      </c>
    </row>
    <row r="295" spans="1:1">
      <c r="A295" s="50"/>
    </row>
    <row r="296" spans="1:1">
      <c r="A296" s="51" t="s">
        <v>770</v>
      </c>
    </row>
    <row r="297" spans="1:1">
      <c r="A297" s="50"/>
    </row>
    <row r="298" spans="1:1">
      <c r="A298" s="51" t="s">
        <v>700</v>
      </c>
    </row>
    <row r="299" spans="1:1">
      <c r="A299" s="50"/>
    </row>
    <row r="300" spans="1:1">
      <c r="A300" s="52"/>
    </row>
    <row r="301" spans="1:1">
      <c r="A301" s="62" t="s">
        <v>771</v>
      </c>
    </row>
    <row r="302" spans="1:1">
      <c r="A302" s="50"/>
    </row>
    <row r="303" spans="1:1">
      <c r="A303" s="51" t="s">
        <v>702</v>
      </c>
    </row>
    <row r="304" spans="1:1">
      <c r="A304" s="50"/>
    </row>
    <row r="305" spans="1:1">
      <c r="A305" s="52"/>
    </row>
    <row r="306" spans="1:1">
      <c r="A306" s="62" t="s">
        <v>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Executive Summary</vt:lpstr>
      <vt:lpstr>Master Skills Catalog</vt:lpstr>
      <vt:lpstr>1. PM Workflow Deep-Dive</vt:lpstr>
      <vt:lpstr>2. Product Thinking Deep-Dive</vt:lpstr>
      <vt:lpstr>3. AI Domain &amp; Governance</vt:lpstr>
      <vt:lpstr>RICE Prioritization Model</vt:lpstr>
      <vt:lpstr>Tech Specs &amp; API Contract</vt:lpstr>
      <vt:lpstr>WorkBookArchitecture</vt:lpstr>
      <vt:lpstr>PrioAuthWorkFlowSkills</vt:lpstr>
      <vt:lpstr>GenericMasterSkills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kumar</cp:lastModifiedBy>
  <dcterms:created xsi:type="dcterms:W3CDTF">2026-09-02T17:25:27Z</dcterms:created>
  <dcterms:modified xsi:type="dcterms:W3CDTF">2026-09-02T17:33:50Z</dcterms:modified>
</cp:coreProperties>
</file>